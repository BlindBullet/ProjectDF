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3503A5A8-185D-4BEC-A0F9-A2ECD7CA4E0D}" xr6:coauthVersionLast="47" xr6:coauthVersionMax="47" xr10:uidLastSave="{00000000-0000-0000-0000-000000000000}"/>
  <bookViews>
    <workbookView xWindow="-28920" yWindow="1695" windowWidth="29040" windowHeight="15840" xr2:uid="{00000000-000D-0000-FFFF-FFFF00000000}"/>
  </bookViews>
  <sheets>
    <sheet name="Export" sheetId="2" r:id="rId1"/>
    <sheet name="description" sheetId="3" r:id="rId2"/>
    <sheet name="sim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1" i="2" l="1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L3" i="4"/>
  <c r="A49" i="4"/>
  <c r="B49" i="4"/>
  <c r="A50" i="4"/>
  <c r="B50" i="4"/>
  <c r="A51" i="4"/>
  <c r="B51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3" i="4"/>
  <c r="B3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B2" i="4"/>
  <c r="A2" i="4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" i="2"/>
</calcChain>
</file>

<file path=xl/sharedStrings.xml><?xml version="1.0" encoding="utf-8"?>
<sst xmlns="http://schemas.openxmlformats.org/spreadsheetml/2006/main" count="205" uniqueCount="72">
  <si>
    <t>Id</t>
    <phoneticPr fontId="1" type="noConversion"/>
  </si>
  <si>
    <t>Lv</t>
    <phoneticPr fontId="1" type="noConversion"/>
  </si>
  <si>
    <t>Name</t>
    <phoneticPr fontId="1" type="noConversion"/>
  </si>
  <si>
    <t>Time</t>
    <phoneticPr fontId="1" type="noConversion"/>
  </si>
  <si>
    <t>RewardType</t>
    <phoneticPr fontId="1" type="noConversion"/>
  </si>
  <si>
    <t>RewardValue</t>
    <phoneticPr fontId="1" type="noConversion"/>
  </si>
  <si>
    <t>Gold</t>
    <phoneticPr fontId="1" type="noConversion"/>
  </si>
  <si>
    <t>SoulStone</t>
    <phoneticPr fontId="1" type="noConversion"/>
  </si>
  <si>
    <t>GameSpeed</t>
    <phoneticPr fontId="1" type="noConversion"/>
  </si>
  <si>
    <t>NeedGrade</t>
    <phoneticPr fontId="1" type="noConversion"/>
  </si>
  <si>
    <t>NeedAttr</t>
    <phoneticPr fontId="1" type="noConversion"/>
  </si>
  <si>
    <t>Red|Blue</t>
    <phoneticPr fontId="1" type="noConversion"/>
  </si>
  <si>
    <t>Green|Green</t>
    <phoneticPr fontId="1" type="noConversion"/>
  </si>
  <si>
    <t>Blue|Green|Red</t>
    <phoneticPr fontId="1" type="noConversion"/>
  </si>
  <si>
    <t>NeedGradeCount</t>
    <phoneticPr fontId="1" type="noConversion"/>
  </si>
  <si>
    <t>Green|Red</t>
    <phoneticPr fontId="1" type="noConversion"/>
  </si>
  <si>
    <t>Green|Blue</t>
    <phoneticPr fontId="1" type="noConversion"/>
  </si>
  <si>
    <t>Red|Red</t>
    <phoneticPr fontId="1" type="noConversion"/>
  </si>
  <si>
    <t>Blue|Blue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</si>
  <si>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</si>
  <si>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</si>
  <si>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</si>
  <si>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</si>
  <si>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</si>
  <si>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</si>
  <si>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</si>
  <si>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</si>
  <si>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t>double</t>
    <phoneticPr fontId="1" type="noConversion"/>
  </si>
  <si>
    <t>퀘스트 레벨</t>
    <phoneticPr fontId="1" type="noConversion"/>
  </si>
  <si>
    <t>퀘스트명</t>
    <phoneticPr fontId="1" type="noConversion"/>
  </si>
  <si>
    <t>퀘스트 시간</t>
    <phoneticPr fontId="1" type="noConversion"/>
  </si>
  <si>
    <t xml:space="preserve">퀘스트 시작에 필요한 속성
</t>
    <phoneticPr fontId="1" type="noConversion"/>
  </si>
  <si>
    <t>enum[]
Red
Blue
Green</t>
    <phoneticPr fontId="1" type="noConversion"/>
  </si>
  <si>
    <t>퀘스트 시작에 필요한 등급의 개수</t>
    <phoneticPr fontId="1" type="noConversion"/>
  </si>
  <si>
    <t>퀘스트 시작에 필요한 등급</t>
    <phoneticPr fontId="1" type="noConversion"/>
  </si>
  <si>
    <t>int</t>
    <phoneticPr fontId="1" type="noConversion"/>
  </si>
  <si>
    <t>보상 타입값
Gold - 시간(분)으로 계산하여 보상을 줌. 30입력시 해당 스테이지 기준 30분간 얻는 골드를 보상
SoulStone - 해당값 그대로 보상
Magicite - 퀘스트 보상으로 줄 예정 없음
GameSpeed - 시간(분)으로 버프를 줌. 이미 가지고 있을 경우 해당 시간에 추가.</t>
    <phoneticPr fontId="1" type="noConversion"/>
  </si>
  <si>
    <t>UseAutoSkill</t>
    <phoneticPr fontId="1" type="noConversion"/>
  </si>
  <si>
    <t>enum
Gold
SoulStone
Magicite
GameSpeed
UseAutoSkill
GainGold</t>
    <phoneticPr fontId="1" type="noConversion"/>
  </si>
  <si>
    <t>보상 타입
Gold : 골드
SoulStone : 영혼석
Magicite : 마석
GameSpeed : 게임속도 증가
UseAutoSkill : 자동스킬 사용
GainGold : 적 처치시 얻는 골드 증가</t>
    <phoneticPr fontId="1" type="noConversion"/>
  </si>
  <si>
    <t>id</t>
    <phoneticPr fontId="1" type="noConversion"/>
  </si>
  <si>
    <t>컨셉</t>
    <phoneticPr fontId="1" type="noConversion"/>
  </si>
  <si>
    <t>골드</t>
    <phoneticPr fontId="1" type="noConversion"/>
  </si>
  <si>
    <t>보상 종류</t>
    <phoneticPr fontId="1" type="noConversion"/>
  </si>
  <si>
    <t>디자인 정책</t>
    <phoneticPr fontId="1" type="noConversion"/>
  </si>
  <si>
    <t>영혼석</t>
    <phoneticPr fontId="1" type="noConversion"/>
  </si>
  <si>
    <t>속도증가</t>
    <phoneticPr fontId="1" type="noConversion"/>
  </si>
  <si>
    <t>스킬 오토</t>
    <phoneticPr fontId="1" type="noConversion"/>
  </si>
  <si>
    <t>처치 골드</t>
    <phoneticPr fontId="1" type="noConversion"/>
  </si>
  <si>
    <t>골드 퀘스트 나올 확률</t>
    <phoneticPr fontId="1" type="noConversion"/>
  </si>
  <si>
    <t>3가지.</t>
    <phoneticPr fontId="1" type="noConversion"/>
  </si>
  <si>
    <t>영웅 속성</t>
    <phoneticPr fontId="1" type="noConversion"/>
  </si>
  <si>
    <t>시간당 보상(시트 참조)</t>
    <phoneticPr fontId="1" type="noConversion"/>
  </si>
  <si>
    <t>1레벨은 맛보기.</t>
    <phoneticPr fontId="1" type="noConversion"/>
  </si>
  <si>
    <t>시간 짧음. 시간당 보상 좋음. 최초는 20% 수준. 최종에선 스테이지 보상의 80% 수준? 난이도 하.</t>
    <phoneticPr fontId="1" type="noConversion"/>
  </si>
  <si>
    <t>시간 더 김. 50/h 부터..? 300/h 까지. 최고난이도.</t>
    <phoneticPr fontId="1" type="noConversion"/>
  </si>
  <si>
    <t>시간 중간. 시간당 보상 중간. 대략 1번 - 2레벨 수준. 난이도 중</t>
    <phoneticPr fontId="1" type="noConversion"/>
  </si>
  <si>
    <t>시간 김. 시간당 보상 낮음. 대략 1번 - 4레벨 수준. 난이도 상</t>
    <phoneticPr fontId="1" type="noConversion"/>
  </si>
  <si>
    <t>1/2 시간 정도. 난이도 하</t>
    <phoneticPr fontId="1" type="noConversion"/>
  </si>
  <si>
    <t>1/3 시간 정도..? 레벨에 의한 개선은 2배쯤. 난이도 상</t>
    <phoneticPr fontId="1" type="noConversion"/>
  </si>
  <si>
    <t>1/3 시간 정도..? 난이도 중</t>
    <phoneticPr fontId="1" type="noConversion"/>
  </si>
  <si>
    <t>Blue|Blue|Red</t>
    <phoneticPr fontId="1" type="noConversion"/>
  </si>
  <si>
    <t>Blue|Green|Blue</t>
    <phoneticPr fontId="1" type="noConversion"/>
  </si>
  <si>
    <t>Red|Green|Red</t>
    <phoneticPr fontId="1" type="noConversion"/>
  </si>
  <si>
    <t>Blue|Red|Red</t>
    <phoneticPr fontId="1" type="noConversion"/>
  </si>
  <si>
    <t>Green|Green|Red</t>
    <phoneticPr fontId="1" type="noConversion"/>
  </si>
  <si>
    <t>Red|Red|Blue</t>
    <phoneticPr fontId="1" type="noConversion"/>
  </si>
  <si>
    <t>Red|Red|Green</t>
    <phoneticPr fontId="1" type="noConversion"/>
  </si>
  <si>
    <t>Red|Red|Red</t>
    <phoneticPr fontId="1" type="noConversion"/>
  </si>
  <si>
    <t>Blue|Blue|Blue</t>
    <phoneticPr fontId="1" type="noConversion"/>
  </si>
  <si>
    <t>Green|Green|Green</t>
    <phoneticPr fontId="1" type="noConversion"/>
  </si>
  <si>
    <t>Blue|Blue|Green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</si>
</sst>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2" xfId="1" applyFont="1" applyBorder="1" applyAlignment="1">
      <alignment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/>
    <xf numFmtId="0" fontId="4" fillId="0" borderId="2" xfId="1" applyFont="1" applyBorder="1" applyAlignment="1">
      <alignment vertical="center" wrapText="1"/>
    </xf>
    <xf numFmtId="0" fontId="4" fillId="0" borderId="2" xfId="1" applyFont="1" applyBorder="1" applyAlignment="1">
      <alignment wrapText="1"/>
    </xf>
    <xf numFmtId="0" fontId="4" fillId="0" borderId="2" xfId="1" applyFont="1" applyBorder="1" applyAlignment="1">
      <alignment horizontal="left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</cellXfs>
  <cellStyles count="2">
    <cellStyle name="표준" xfId="0" builtinId="0"/>
    <cellStyle name="표준 2" xfId="1" xr:uid="{182A838E-2777-46D5-AC0E-538F348B6D2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71"/>
  <sheetViews>
    <sheetView tabSelected="1" workbookViewId="0">
      <selection activeCell="G67" sqref="G67"/>
    </sheetView>
  </sheetViews>
  <sheetFormatPr defaultRowHeight="16.5" x14ac:dyDescent="0.3"/>
  <cols>
    <col min="1" max="1" width="43.625" customWidth="1"/>
    <col min="2" max="2" width="14.875" customWidth="1"/>
    <col min="4" max="4" width="22" customWidth="1"/>
    <col min="6" max="6" width="10.875" bestFit="1" customWidth="1"/>
    <col min="7" max="7" width="16.125" bestFit="1" customWidth="1"/>
    <col min="8" max="8" width="21.625" customWidth="1"/>
    <col min="9" max="9" width="11.5" bestFit="1" customWidth="1"/>
    <col min="10" max="10" width="12" bestFit="1" customWidth="1"/>
  </cols>
  <sheetData>
    <row r="1" spans="2:10" ht="33.75" customHeight="1" x14ac:dyDescent="0.3">
      <c r="B1" t="s">
        <v>0</v>
      </c>
      <c r="C1" t="s">
        <v>1</v>
      </c>
      <c r="D1" t="s">
        <v>2</v>
      </c>
      <c r="E1" t="s">
        <v>3</v>
      </c>
      <c r="F1" t="s">
        <v>9</v>
      </c>
      <c r="G1" t="s">
        <v>14</v>
      </c>
      <c r="H1" t="s">
        <v>10</v>
      </c>
      <c r="I1" t="s">
        <v>4</v>
      </c>
      <c r="J1" t="s">
        <v>5</v>
      </c>
    </row>
    <row r="2" spans="2:10" x14ac:dyDescent="0.3">
      <c r="B2" s="13">
        <v>10001</v>
      </c>
      <c r="C2" s="14">
        <v>1</v>
      </c>
      <c r="D2" s="14" t="str">
        <f>"str_name_quest_"&amp;B2</f>
        <v>str_name_quest_10001</v>
      </c>
      <c r="E2" s="14">
        <v>5</v>
      </c>
      <c r="F2" s="14"/>
      <c r="G2" s="14"/>
      <c r="H2" s="14" t="s">
        <v>11</v>
      </c>
      <c r="I2" s="14" t="s">
        <v>6</v>
      </c>
      <c r="J2" s="15">
        <v>1</v>
      </c>
    </row>
    <row r="3" spans="2:10" x14ac:dyDescent="0.3">
      <c r="B3" s="16">
        <v>10002</v>
      </c>
      <c r="C3" s="17">
        <v>2</v>
      </c>
      <c r="D3" s="17" t="str">
        <f t="shared" ref="D3:D51" si="0">"str_name_quest_"&amp;B3</f>
        <v>str_name_quest_10002</v>
      </c>
      <c r="E3" s="17">
        <v>10</v>
      </c>
      <c r="F3" s="17"/>
      <c r="G3" s="17"/>
      <c r="H3" s="17" t="s">
        <v>15</v>
      </c>
      <c r="I3" s="17" t="s">
        <v>6</v>
      </c>
      <c r="J3" s="18">
        <v>3</v>
      </c>
    </row>
    <row r="4" spans="2:10" x14ac:dyDescent="0.3">
      <c r="B4" s="16">
        <v>10003</v>
      </c>
      <c r="C4" s="17">
        <v>3</v>
      </c>
      <c r="D4" s="17" t="str">
        <f t="shared" si="0"/>
        <v>str_name_quest_10003</v>
      </c>
      <c r="E4" s="17">
        <v>15</v>
      </c>
      <c r="F4" s="17"/>
      <c r="G4" s="17"/>
      <c r="H4" s="17" t="s">
        <v>16</v>
      </c>
      <c r="I4" s="17" t="s">
        <v>6</v>
      </c>
      <c r="J4" s="18">
        <v>6</v>
      </c>
    </row>
    <row r="5" spans="2:10" x14ac:dyDescent="0.3">
      <c r="B5" s="16">
        <v>10004</v>
      </c>
      <c r="C5" s="17">
        <v>4</v>
      </c>
      <c r="D5" s="17" t="str">
        <f t="shared" si="0"/>
        <v>str_name_quest_10004</v>
      </c>
      <c r="E5" s="22">
        <v>10</v>
      </c>
      <c r="F5" s="22">
        <v>2</v>
      </c>
      <c r="G5" s="22">
        <v>1</v>
      </c>
      <c r="H5" s="17" t="s">
        <v>17</v>
      </c>
      <c r="I5" s="17" t="s">
        <v>6</v>
      </c>
      <c r="J5" s="18">
        <v>5</v>
      </c>
    </row>
    <row r="6" spans="2:10" x14ac:dyDescent="0.3">
      <c r="B6" s="16">
        <v>10005</v>
      </c>
      <c r="C6" s="17">
        <v>5</v>
      </c>
      <c r="D6" s="17" t="str">
        <f t="shared" si="0"/>
        <v>str_name_quest_10005</v>
      </c>
      <c r="E6" s="17">
        <v>15</v>
      </c>
      <c r="F6" s="22">
        <v>2</v>
      </c>
      <c r="G6" s="22">
        <v>1</v>
      </c>
      <c r="H6" s="17" t="s">
        <v>18</v>
      </c>
      <c r="I6" s="17" t="s">
        <v>6</v>
      </c>
      <c r="J6" s="18">
        <v>8</v>
      </c>
    </row>
    <row r="7" spans="2:10" x14ac:dyDescent="0.3">
      <c r="B7" s="16">
        <v>10006</v>
      </c>
      <c r="C7" s="17">
        <v>6</v>
      </c>
      <c r="D7" s="17" t="str">
        <f t="shared" si="0"/>
        <v>str_name_quest_10006</v>
      </c>
      <c r="E7" s="17">
        <v>20</v>
      </c>
      <c r="F7" s="17">
        <v>3</v>
      </c>
      <c r="G7" s="22">
        <v>1</v>
      </c>
      <c r="H7" s="17" t="s">
        <v>12</v>
      </c>
      <c r="I7" s="17" t="s">
        <v>6</v>
      </c>
      <c r="J7" s="18">
        <v>11</v>
      </c>
    </row>
    <row r="8" spans="2:10" x14ac:dyDescent="0.3">
      <c r="B8" s="16">
        <v>10007</v>
      </c>
      <c r="C8" s="17">
        <v>7</v>
      </c>
      <c r="D8" s="17" t="str">
        <f t="shared" si="0"/>
        <v>str_name_quest_10007</v>
      </c>
      <c r="E8" s="17">
        <v>15</v>
      </c>
      <c r="F8" s="22">
        <v>3</v>
      </c>
      <c r="G8" s="22">
        <v>2</v>
      </c>
      <c r="H8" s="17" t="s">
        <v>13</v>
      </c>
      <c r="I8" s="17" t="s">
        <v>6</v>
      </c>
      <c r="J8" s="18">
        <v>10</v>
      </c>
    </row>
    <row r="9" spans="2:10" x14ac:dyDescent="0.3">
      <c r="B9" s="16">
        <v>10008</v>
      </c>
      <c r="C9" s="17">
        <v>8</v>
      </c>
      <c r="D9" s="17" t="str">
        <f t="shared" si="0"/>
        <v>str_name_quest_10008</v>
      </c>
      <c r="E9" s="17">
        <v>20</v>
      </c>
      <c r="F9" s="17">
        <v>4</v>
      </c>
      <c r="G9" s="22">
        <v>1</v>
      </c>
      <c r="H9" s="17" t="s">
        <v>13</v>
      </c>
      <c r="I9" s="17" t="s">
        <v>6</v>
      </c>
      <c r="J9" s="18">
        <v>14</v>
      </c>
    </row>
    <row r="10" spans="2:10" x14ac:dyDescent="0.3">
      <c r="B10" s="16">
        <v>10009</v>
      </c>
      <c r="C10" s="17">
        <v>9</v>
      </c>
      <c r="D10" s="17" t="str">
        <f t="shared" si="0"/>
        <v>str_name_quest_10009</v>
      </c>
      <c r="E10" s="17">
        <v>25</v>
      </c>
      <c r="F10" s="17">
        <v>4</v>
      </c>
      <c r="G10" s="22">
        <v>2</v>
      </c>
      <c r="H10" s="17" t="s">
        <v>13</v>
      </c>
      <c r="I10" s="17" t="s">
        <v>6</v>
      </c>
      <c r="J10" s="18">
        <v>18</v>
      </c>
    </row>
    <row r="11" spans="2:10" x14ac:dyDescent="0.3">
      <c r="B11" s="16">
        <v>10010</v>
      </c>
      <c r="C11" s="17">
        <v>10</v>
      </c>
      <c r="D11" s="17" t="str">
        <f t="shared" si="0"/>
        <v>str_name_quest_10010</v>
      </c>
      <c r="E11" s="17">
        <v>20</v>
      </c>
      <c r="F11" s="17">
        <v>5</v>
      </c>
      <c r="G11" s="17">
        <v>2</v>
      </c>
      <c r="H11" s="17" t="s">
        <v>13</v>
      </c>
      <c r="I11" s="17" t="s">
        <v>6</v>
      </c>
      <c r="J11" s="18">
        <v>16</v>
      </c>
    </row>
    <row r="12" spans="2:10" x14ac:dyDescent="0.3">
      <c r="B12" s="13">
        <v>20001</v>
      </c>
      <c r="C12" s="14">
        <v>1</v>
      </c>
      <c r="D12" s="14" t="str">
        <f t="shared" si="0"/>
        <v>str_name_quest_20001</v>
      </c>
      <c r="E12" s="14">
        <v>20</v>
      </c>
      <c r="F12" s="14"/>
      <c r="G12" s="14"/>
      <c r="H12" s="14" t="s">
        <v>16</v>
      </c>
      <c r="I12" s="14" t="s">
        <v>6</v>
      </c>
      <c r="J12" s="15">
        <v>4</v>
      </c>
    </row>
    <row r="13" spans="2:10" x14ac:dyDescent="0.3">
      <c r="B13" s="16">
        <v>20002</v>
      </c>
      <c r="C13" s="17">
        <v>2</v>
      </c>
      <c r="D13" s="17" t="str">
        <f t="shared" si="0"/>
        <v>str_name_quest_20002</v>
      </c>
      <c r="E13" s="17">
        <v>25</v>
      </c>
      <c r="F13" s="17"/>
      <c r="G13" s="17"/>
      <c r="H13" s="17" t="s">
        <v>11</v>
      </c>
      <c r="I13" s="17" t="s">
        <v>6</v>
      </c>
      <c r="J13" s="18">
        <v>7</v>
      </c>
    </row>
    <row r="14" spans="2:10" x14ac:dyDescent="0.3">
      <c r="B14" s="16">
        <v>20003</v>
      </c>
      <c r="C14" s="17">
        <v>3</v>
      </c>
      <c r="D14" s="17" t="str">
        <f t="shared" si="0"/>
        <v>str_name_quest_20003</v>
      </c>
      <c r="E14" s="17">
        <v>30</v>
      </c>
      <c r="F14" s="22">
        <v>2</v>
      </c>
      <c r="G14" s="22">
        <v>1</v>
      </c>
      <c r="H14" s="17" t="s">
        <v>15</v>
      </c>
      <c r="I14" s="17" t="s">
        <v>6</v>
      </c>
      <c r="J14" s="18">
        <v>10</v>
      </c>
    </row>
    <row r="15" spans="2:10" x14ac:dyDescent="0.3">
      <c r="B15" s="16">
        <v>20004</v>
      </c>
      <c r="C15" s="17">
        <v>4</v>
      </c>
      <c r="D15" s="17" t="str">
        <f t="shared" si="0"/>
        <v>str_name_quest_20004</v>
      </c>
      <c r="E15" s="17">
        <v>35</v>
      </c>
      <c r="F15" s="22">
        <v>2</v>
      </c>
      <c r="G15" s="22">
        <v>1</v>
      </c>
      <c r="H15" s="17" t="s">
        <v>12</v>
      </c>
      <c r="I15" s="17" t="s">
        <v>6</v>
      </c>
      <c r="J15" s="18">
        <v>14</v>
      </c>
    </row>
    <row r="16" spans="2:10" x14ac:dyDescent="0.3">
      <c r="B16" s="16">
        <v>20005</v>
      </c>
      <c r="C16" s="17">
        <v>5</v>
      </c>
      <c r="D16" s="17" t="str">
        <f t="shared" si="0"/>
        <v>str_name_quest_20005</v>
      </c>
      <c r="E16" s="17">
        <v>30</v>
      </c>
      <c r="F16" s="22">
        <v>3</v>
      </c>
      <c r="G16" s="22">
        <v>1</v>
      </c>
      <c r="H16" s="17" t="s">
        <v>17</v>
      </c>
      <c r="I16" s="17" t="s">
        <v>6</v>
      </c>
      <c r="J16" s="18">
        <v>15</v>
      </c>
    </row>
    <row r="17" spans="2:10" x14ac:dyDescent="0.3">
      <c r="B17" s="16">
        <v>20006</v>
      </c>
      <c r="C17" s="17">
        <v>6</v>
      </c>
      <c r="D17" s="17" t="str">
        <f t="shared" si="0"/>
        <v>str_name_quest_20006</v>
      </c>
      <c r="E17" s="17">
        <v>35</v>
      </c>
      <c r="F17" s="17">
        <v>3</v>
      </c>
      <c r="G17" s="22">
        <v>2</v>
      </c>
      <c r="H17" s="17" t="s">
        <v>18</v>
      </c>
      <c r="I17" s="17" t="s">
        <v>6</v>
      </c>
      <c r="J17" s="18">
        <v>18</v>
      </c>
    </row>
    <row r="18" spans="2:10" x14ac:dyDescent="0.3">
      <c r="B18" s="16">
        <v>20007</v>
      </c>
      <c r="C18" s="17">
        <v>7</v>
      </c>
      <c r="D18" s="17" t="str">
        <f t="shared" si="0"/>
        <v>str_name_quest_20007</v>
      </c>
      <c r="E18" s="17">
        <v>40</v>
      </c>
      <c r="F18" s="22">
        <v>4</v>
      </c>
      <c r="G18" s="22">
        <v>2</v>
      </c>
      <c r="H18" s="17" t="s">
        <v>61</v>
      </c>
      <c r="I18" s="17" t="s">
        <v>6</v>
      </c>
      <c r="J18" s="18">
        <v>23</v>
      </c>
    </row>
    <row r="19" spans="2:10" x14ac:dyDescent="0.3">
      <c r="B19" s="16">
        <v>20008</v>
      </c>
      <c r="C19" s="17">
        <v>8</v>
      </c>
      <c r="D19" s="17" t="str">
        <f t="shared" si="0"/>
        <v>str_name_quest_20008</v>
      </c>
      <c r="E19" s="17">
        <v>35</v>
      </c>
      <c r="F19" s="17">
        <v>4</v>
      </c>
      <c r="G19" s="22">
        <v>2</v>
      </c>
      <c r="H19" s="17" t="s">
        <v>62</v>
      </c>
      <c r="I19" s="17" t="s">
        <v>6</v>
      </c>
      <c r="J19" s="18">
        <v>22</v>
      </c>
    </row>
    <row r="20" spans="2:10" x14ac:dyDescent="0.3">
      <c r="B20" s="16">
        <v>20009</v>
      </c>
      <c r="C20" s="17">
        <v>9</v>
      </c>
      <c r="D20" s="17" t="str">
        <f t="shared" si="0"/>
        <v>str_name_quest_20009</v>
      </c>
      <c r="E20" s="17">
        <v>40</v>
      </c>
      <c r="F20" s="17">
        <v>5</v>
      </c>
      <c r="G20" s="22">
        <v>2</v>
      </c>
      <c r="H20" s="17" t="s">
        <v>61</v>
      </c>
      <c r="I20" s="17" t="s">
        <v>6</v>
      </c>
      <c r="J20" s="18">
        <v>27</v>
      </c>
    </row>
    <row r="21" spans="2:10" x14ac:dyDescent="0.3">
      <c r="B21" s="19">
        <v>20010</v>
      </c>
      <c r="C21" s="20">
        <v>10</v>
      </c>
      <c r="D21" s="20" t="str">
        <f t="shared" si="0"/>
        <v>str_name_quest_20010</v>
      </c>
      <c r="E21" s="20">
        <v>45</v>
      </c>
      <c r="F21" s="20">
        <v>5</v>
      </c>
      <c r="G21" s="20">
        <v>3</v>
      </c>
      <c r="H21" s="20" t="s">
        <v>62</v>
      </c>
      <c r="I21" s="20" t="s">
        <v>6</v>
      </c>
      <c r="J21" s="21">
        <v>32</v>
      </c>
    </row>
    <row r="22" spans="2:10" x14ac:dyDescent="0.3">
      <c r="B22" s="16">
        <v>30001</v>
      </c>
      <c r="C22" s="17">
        <v>1</v>
      </c>
      <c r="D22" s="17" t="str">
        <f t="shared" si="0"/>
        <v>str_name_quest_30001</v>
      </c>
      <c r="E22" s="17">
        <v>60</v>
      </c>
      <c r="F22" s="17"/>
      <c r="G22" s="17"/>
      <c r="H22" s="17" t="s">
        <v>15</v>
      </c>
      <c r="I22" s="17" t="s">
        <v>6</v>
      </c>
      <c r="J22" s="18">
        <v>11</v>
      </c>
    </row>
    <row r="23" spans="2:10" x14ac:dyDescent="0.3">
      <c r="B23" s="16">
        <v>30002</v>
      </c>
      <c r="C23" s="17">
        <v>2</v>
      </c>
      <c r="D23" s="17" t="str">
        <f t="shared" si="0"/>
        <v>str_name_quest_30002</v>
      </c>
      <c r="E23" s="17">
        <v>70</v>
      </c>
      <c r="F23" s="22">
        <v>2</v>
      </c>
      <c r="G23" s="22">
        <v>1</v>
      </c>
      <c r="H23" s="17" t="s">
        <v>16</v>
      </c>
      <c r="I23" s="17" t="s">
        <v>6</v>
      </c>
      <c r="J23" s="18">
        <v>20</v>
      </c>
    </row>
    <row r="24" spans="2:10" x14ac:dyDescent="0.3">
      <c r="B24" s="16">
        <v>30003</v>
      </c>
      <c r="C24" s="17">
        <v>3</v>
      </c>
      <c r="D24" s="17" t="str">
        <f t="shared" si="0"/>
        <v>str_name_quest_30003</v>
      </c>
      <c r="E24" s="17">
        <v>80</v>
      </c>
      <c r="F24" s="22">
        <v>2</v>
      </c>
      <c r="G24" s="22">
        <v>1</v>
      </c>
      <c r="H24" s="17" t="s">
        <v>11</v>
      </c>
      <c r="I24" s="17" t="s">
        <v>6</v>
      </c>
      <c r="J24" s="18">
        <v>30</v>
      </c>
    </row>
    <row r="25" spans="2:10" x14ac:dyDescent="0.3">
      <c r="B25" s="16">
        <v>30004</v>
      </c>
      <c r="C25" s="17">
        <v>4</v>
      </c>
      <c r="D25" s="17" t="str">
        <f t="shared" si="0"/>
        <v>str_name_quest_30004</v>
      </c>
      <c r="E25" s="17">
        <v>90</v>
      </c>
      <c r="F25" s="22">
        <v>3</v>
      </c>
      <c r="G25" s="22">
        <v>1</v>
      </c>
      <c r="H25" s="17" t="s">
        <v>18</v>
      </c>
      <c r="I25" s="17" t="s">
        <v>6</v>
      </c>
      <c r="J25" s="18">
        <v>40</v>
      </c>
    </row>
    <row r="26" spans="2:10" x14ac:dyDescent="0.3">
      <c r="B26" s="16">
        <v>30005</v>
      </c>
      <c r="C26" s="17">
        <v>5</v>
      </c>
      <c r="D26" s="17" t="str">
        <f t="shared" si="0"/>
        <v>str_name_quest_30005</v>
      </c>
      <c r="E26" s="17">
        <v>100</v>
      </c>
      <c r="F26" s="22">
        <v>3</v>
      </c>
      <c r="G26" s="22">
        <v>2</v>
      </c>
      <c r="H26" s="17" t="s">
        <v>12</v>
      </c>
      <c r="I26" s="17" t="s">
        <v>6</v>
      </c>
      <c r="J26" s="18">
        <v>50</v>
      </c>
    </row>
    <row r="27" spans="2:10" x14ac:dyDescent="0.3">
      <c r="B27" s="16">
        <v>30006</v>
      </c>
      <c r="C27" s="17">
        <v>6</v>
      </c>
      <c r="D27" s="17" t="str">
        <f t="shared" si="0"/>
        <v>str_name_quest_30006</v>
      </c>
      <c r="E27" s="17">
        <v>110</v>
      </c>
      <c r="F27" s="17">
        <v>4</v>
      </c>
      <c r="G27" s="22">
        <v>2</v>
      </c>
      <c r="H27" s="17" t="s">
        <v>17</v>
      </c>
      <c r="I27" s="17" t="s">
        <v>6</v>
      </c>
      <c r="J27" s="18">
        <v>60</v>
      </c>
    </row>
    <row r="28" spans="2:10" x14ac:dyDescent="0.3">
      <c r="B28" s="16">
        <v>30007</v>
      </c>
      <c r="C28" s="17">
        <v>7</v>
      </c>
      <c r="D28" s="17" t="str">
        <f t="shared" si="0"/>
        <v>str_name_quest_30007</v>
      </c>
      <c r="E28" s="17">
        <v>120</v>
      </c>
      <c r="F28" s="22">
        <v>4</v>
      </c>
      <c r="G28" s="22">
        <v>2</v>
      </c>
      <c r="H28" s="17" t="s">
        <v>66</v>
      </c>
      <c r="I28" s="17" t="s">
        <v>6</v>
      </c>
      <c r="J28" s="18">
        <v>70</v>
      </c>
    </row>
    <row r="29" spans="2:10" x14ac:dyDescent="0.3">
      <c r="B29" s="16">
        <v>30008</v>
      </c>
      <c r="C29" s="17">
        <v>8</v>
      </c>
      <c r="D29" s="17" t="str">
        <f t="shared" si="0"/>
        <v>str_name_quest_30008</v>
      </c>
      <c r="E29" s="17">
        <v>130</v>
      </c>
      <c r="F29" s="17">
        <v>5</v>
      </c>
      <c r="G29" s="22">
        <v>2</v>
      </c>
      <c r="H29" s="17" t="s">
        <v>67</v>
      </c>
      <c r="I29" s="17" t="s">
        <v>6</v>
      </c>
      <c r="J29" s="18">
        <v>80</v>
      </c>
    </row>
    <row r="30" spans="2:10" x14ac:dyDescent="0.3">
      <c r="B30" s="16">
        <v>30009</v>
      </c>
      <c r="C30" s="17">
        <v>9</v>
      </c>
      <c r="D30" s="17" t="str">
        <f t="shared" si="0"/>
        <v>str_name_quest_30009</v>
      </c>
      <c r="E30" s="17">
        <v>140</v>
      </c>
      <c r="F30" s="17">
        <v>5</v>
      </c>
      <c r="G30" s="22">
        <v>3</v>
      </c>
      <c r="H30" s="17" t="s">
        <v>64</v>
      </c>
      <c r="I30" s="17" t="s">
        <v>6</v>
      </c>
      <c r="J30" s="18">
        <v>90</v>
      </c>
    </row>
    <row r="31" spans="2:10" x14ac:dyDescent="0.3">
      <c r="B31" s="19">
        <v>30010</v>
      </c>
      <c r="C31" s="20">
        <v>10</v>
      </c>
      <c r="D31" s="20" t="str">
        <f t="shared" si="0"/>
        <v>str_name_quest_30010</v>
      </c>
      <c r="E31" s="20">
        <v>150</v>
      </c>
      <c r="F31" s="20">
        <v>6</v>
      </c>
      <c r="G31" s="20">
        <v>3</v>
      </c>
      <c r="H31" s="20" t="s">
        <v>63</v>
      </c>
      <c r="I31" s="20" t="s">
        <v>6</v>
      </c>
      <c r="J31" s="21">
        <v>100</v>
      </c>
    </row>
    <row r="32" spans="2:10" x14ac:dyDescent="0.3">
      <c r="B32">
        <v>40001</v>
      </c>
      <c r="C32">
        <v>1</v>
      </c>
      <c r="D32" t="str">
        <f t="shared" si="0"/>
        <v>str_name_quest_40001</v>
      </c>
      <c r="E32">
        <v>60</v>
      </c>
      <c r="F32" s="22"/>
      <c r="H32" t="s">
        <v>13</v>
      </c>
      <c r="I32" t="s">
        <v>7</v>
      </c>
      <c r="J32">
        <v>50</v>
      </c>
    </row>
    <row r="33" spans="2:10" x14ac:dyDescent="0.3">
      <c r="B33">
        <v>40002</v>
      </c>
      <c r="C33">
        <v>2</v>
      </c>
      <c r="D33" t="str">
        <f t="shared" si="0"/>
        <v>str_name_quest_40002</v>
      </c>
      <c r="E33">
        <v>75</v>
      </c>
      <c r="F33" s="22">
        <v>2</v>
      </c>
      <c r="G33" s="22">
        <v>2</v>
      </c>
      <c r="H33" t="s">
        <v>61</v>
      </c>
      <c r="I33" t="s">
        <v>7</v>
      </c>
      <c r="J33">
        <v>80</v>
      </c>
    </row>
    <row r="34" spans="2:10" x14ac:dyDescent="0.3">
      <c r="B34">
        <v>40003</v>
      </c>
      <c r="C34">
        <v>3</v>
      </c>
      <c r="D34" t="str">
        <f t="shared" si="0"/>
        <v>str_name_quest_40003</v>
      </c>
      <c r="E34">
        <v>90</v>
      </c>
      <c r="F34" s="22">
        <v>3</v>
      </c>
      <c r="G34" s="22">
        <v>2</v>
      </c>
      <c r="H34" t="s">
        <v>65</v>
      </c>
      <c r="I34" t="s">
        <v>7</v>
      </c>
      <c r="J34">
        <v>110</v>
      </c>
    </row>
    <row r="35" spans="2:10" x14ac:dyDescent="0.3">
      <c r="B35">
        <v>40004</v>
      </c>
      <c r="C35">
        <v>4</v>
      </c>
      <c r="D35" t="str">
        <f t="shared" si="0"/>
        <v>str_name_quest_40004</v>
      </c>
      <c r="E35">
        <v>105</v>
      </c>
      <c r="F35" s="22">
        <v>3</v>
      </c>
      <c r="G35" s="22">
        <v>3</v>
      </c>
      <c r="H35" t="s">
        <v>66</v>
      </c>
      <c r="I35" t="s">
        <v>7</v>
      </c>
      <c r="J35">
        <v>150</v>
      </c>
    </row>
    <row r="36" spans="2:10" x14ac:dyDescent="0.3">
      <c r="B36">
        <v>40005</v>
      </c>
      <c r="C36">
        <v>5</v>
      </c>
      <c r="D36" t="str">
        <f t="shared" si="0"/>
        <v>str_name_quest_40005</v>
      </c>
      <c r="E36">
        <v>120</v>
      </c>
      <c r="F36" s="22">
        <v>4</v>
      </c>
      <c r="G36" s="22">
        <v>3</v>
      </c>
      <c r="H36" t="s">
        <v>69</v>
      </c>
      <c r="I36" t="s">
        <v>7</v>
      </c>
      <c r="J36">
        <v>200</v>
      </c>
    </row>
    <row r="37" spans="2:10" x14ac:dyDescent="0.3">
      <c r="B37">
        <v>40006</v>
      </c>
      <c r="C37">
        <v>6</v>
      </c>
      <c r="D37" t="str">
        <f t="shared" si="0"/>
        <v>str_name_quest_40006</v>
      </c>
      <c r="E37">
        <v>135</v>
      </c>
      <c r="F37">
        <v>4</v>
      </c>
      <c r="G37">
        <v>3</v>
      </c>
      <c r="H37" t="s">
        <v>70</v>
      </c>
      <c r="I37" t="s">
        <v>7</v>
      </c>
      <c r="J37">
        <v>250</v>
      </c>
    </row>
    <row r="38" spans="2:10" x14ac:dyDescent="0.3">
      <c r="B38">
        <v>40007</v>
      </c>
      <c r="C38">
        <v>7</v>
      </c>
      <c r="D38" t="str">
        <f t="shared" si="0"/>
        <v>str_name_quest_40007</v>
      </c>
      <c r="E38">
        <v>150</v>
      </c>
      <c r="F38">
        <v>5</v>
      </c>
      <c r="G38">
        <v>3</v>
      </c>
      <c r="H38" t="s">
        <v>68</v>
      </c>
      <c r="I38" t="s">
        <v>7</v>
      </c>
      <c r="J38">
        <v>330</v>
      </c>
    </row>
    <row r="39" spans="2:10" x14ac:dyDescent="0.3">
      <c r="B39">
        <v>40008</v>
      </c>
      <c r="C39">
        <v>8</v>
      </c>
      <c r="D39" t="str">
        <f t="shared" si="0"/>
        <v>str_name_quest_40008</v>
      </c>
      <c r="E39">
        <v>165</v>
      </c>
      <c r="F39">
        <v>5</v>
      </c>
      <c r="G39">
        <v>3</v>
      </c>
      <c r="H39" t="s">
        <v>71</v>
      </c>
      <c r="I39" t="s">
        <v>7</v>
      </c>
      <c r="J39">
        <v>420</v>
      </c>
    </row>
    <row r="40" spans="2:10" x14ac:dyDescent="0.3">
      <c r="B40">
        <v>40009</v>
      </c>
      <c r="C40">
        <v>9</v>
      </c>
      <c r="D40" t="str">
        <f t="shared" si="0"/>
        <v>str_name_quest_40009</v>
      </c>
      <c r="E40">
        <v>180</v>
      </c>
      <c r="F40">
        <v>6</v>
      </c>
      <c r="G40">
        <v>3</v>
      </c>
      <c r="H40" t="s">
        <v>66</v>
      </c>
      <c r="I40" t="s">
        <v>7</v>
      </c>
      <c r="J40">
        <v>500</v>
      </c>
    </row>
    <row r="41" spans="2:10" x14ac:dyDescent="0.3">
      <c r="B41">
        <v>40010</v>
      </c>
      <c r="C41">
        <v>10</v>
      </c>
      <c r="D41" t="str">
        <f t="shared" si="0"/>
        <v>str_name_quest_40010</v>
      </c>
      <c r="E41">
        <v>195</v>
      </c>
      <c r="F41">
        <v>6</v>
      </c>
      <c r="G41">
        <v>3</v>
      </c>
      <c r="H41" t="s">
        <v>13</v>
      </c>
      <c r="I41" t="s">
        <v>7</v>
      </c>
      <c r="J41">
        <v>585</v>
      </c>
    </row>
    <row r="42" spans="2:10" x14ac:dyDescent="0.3">
      <c r="B42" s="13">
        <v>50001</v>
      </c>
      <c r="C42" s="14">
        <v>1</v>
      </c>
      <c r="D42" s="14" t="str">
        <f t="shared" si="0"/>
        <v>str_name_quest_50001</v>
      </c>
      <c r="E42" s="14">
        <v>30</v>
      </c>
      <c r="F42" s="14"/>
      <c r="G42" s="14"/>
      <c r="H42" s="14" t="s">
        <v>16</v>
      </c>
      <c r="I42" s="14" t="s">
        <v>8</v>
      </c>
      <c r="J42" s="15">
        <v>10</v>
      </c>
    </row>
    <row r="43" spans="2:10" x14ac:dyDescent="0.3">
      <c r="B43" s="16">
        <v>50002</v>
      </c>
      <c r="C43" s="17">
        <v>2</v>
      </c>
      <c r="D43" s="17" t="str">
        <f t="shared" si="0"/>
        <v>str_name_quest_50002</v>
      </c>
      <c r="E43" s="17">
        <v>35</v>
      </c>
      <c r="F43" s="22">
        <v>2</v>
      </c>
      <c r="G43" s="22">
        <v>1</v>
      </c>
      <c r="H43" s="17" t="s">
        <v>11</v>
      </c>
      <c r="I43" s="17" t="s">
        <v>8</v>
      </c>
      <c r="J43" s="18">
        <v>14</v>
      </c>
    </row>
    <row r="44" spans="2:10" x14ac:dyDescent="0.3">
      <c r="B44" s="16">
        <v>50003</v>
      </c>
      <c r="C44" s="17">
        <v>3</v>
      </c>
      <c r="D44" s="17" t="str">
        <f t="shared" si="0"/>
        <v>str_name_quest_50003</v>
      </c>
      <c r="E44" s="17">
        <v>40</v>
      </c>
      <c r="F44" s="22">
        <v>2</v>
      </c>
      <c r="G44" s="22">
        <v>1</v>
      </c>
      <c r="H44" s="17" t="s">
        <v>15</v>
      </c>
      <c r="I44" s="17" t="s">
        <v>8</v>
      </c>
      <c r="J44" s="18">
        <v>18</v>
      </c>
    </row>
    <row r="45" spans="2:10" x14ac:dyDescent="0.3">
      <c r="B45" s="16">
        <v>50004</v>
      </c>
      <c r="C45" s="17">
        <v>4</v>
      </c>
      <c r="D45" s="17" t="str">
        <f t="shared" si="0"/>
        <v>str_name_quest_50004</v>
      </c>
      <c r="E45" s="17">
        <v>45</v>
      </c>
      <c r="F45" s="22">
        <v>3</v>
      </c>
      <c r="G45" s="22">
        <v>1</v>
      </c>
      <c r="H45" s="17" t="s">
        <v>17</v>
      </c>
      <c r="I45" s="17" t="s">
        <v>8</v>
      </c>
      <c r="J45" s="18">
        <v>22</v>
      </c>
    </row>
    <row r="46" spans="2:10" x14ac:dyDescent="0.3">
      <c r="B46" s="16">
        <v>50005</v>
      </c>
      <c r="C46" s="17">
        <v>5</v>
      </c>
      <c r="D46" s="17" t="str">
        <f t="shared" si="0"/>
        <v>str_name_quest_50005</v>
      </c>
      <c r="E46" s="17">
        <v>50</v>
      </c>
      <c r="F46" s="22">
        <v>3</v>
      </c>
      <c r="G46" s="22">
        <v>2</v>
      </c>
      <c r="H46" s="17" t="s">
        <v>12</v>
      </c>
      <c r="I46" s="17" t="s">
        <v>8</v>
      </c>
      <c r="J46" s="18">
        <v>26</v>
      </c>
    </row>
    <row r="47" spans="2:10" x14ac:dyDescent="0.3">
      <c r="B47" s="16">
        <v>50006</v>
      </c>
      <c r="C47" s="17">
        <v>6</v>
      </c>
      <c r="D47" s="17" t="str">
        <f t="shared" si="0"/>
        <v>str_name_quest_50006</v>
      </c>
      <c r="E47" s="17">
        <v>55</v>
      </c>
      <c r="F47" s="17">
        <v>4</v>
      </c>
      <c r="G47" s="22">
        <v>2</v>
      </c>
      <c r="H47" s="17" t="s">
        <v>18</v>
      </c>
      <c r="I47" s="17" t="s">
        <v>8</v>
      </c>
      <c r="J47" s="18">
        <v>30</v>
      </c>
    </row>
    <row r="48" spans="2:10" x14ac:dyDescent="0.3">
      <c r="B48" s="16">
        <v>50007</v>
      </c>
      <c r="C48" s="17">
        <v>7</v>
      </c>
      <c r="D48" s="17" t="str">
        <f t="shared" si="0"/>
        <v>str_name_quest_50007</v>
      </c>
      <c r="E48" s="17">
        <v>60</v>
      </c>
      <c r="F48" s="22">
        <v>4</v>
      </c>
      <c r="G48" s="22">
        <v>2</v>
      </c>
      <c r="H48" s="17" t="s">
        <v>67</v>
      </c>
      <c r="I48" s="17" t="s">
        <v>8</v>
      </c>
      <c r="J48" s="18">
        <v>34</v>
      </c>
    </row>
    <row r="49" spans="2:10" x14ac:dyDescent="0.3">
      <c r="B49" s="16">
        <v>50008</v>
      </c>
      <c r="C49" s="17">
        <v>8</v>
      </c>
      <c r="D49" s="17" t="str">
        <f t="shared" si="0"/>
        <v>str_name_quest_50008</v>
      </c>
      <c r="E49" s="17">
        <v>65</v>
      </c>
      <c r="F49" s="17">
        <v>5</v>
      </c>
      <c r="G49" s="22">
        <v>2</v>
      </c>
      <c r="H49" s="17" t="s">
        <v>66</v>
      </c>
      <c r="I49" s="17" t="s">
        <v>8</v>
      </c>
      <c r="J49" s="18">
        <v>38</v>
      </c>
    </row>
    <row r="50" spans="2:10" x14ac:dyDescent="0.3">
      <c r="B50" s="16">
        <v>50009</v>
      </c>
      <c r="C50" s="17">
        <v>9</v>
      </c>
      <c r="D50" s="17" t="str">
        <f t="shared" si="0"/>
        <v>str_name_quest_50009</v>
      </c>
      <c r="E50" s="17">
        <v>70</v>
      </c>
      <c r="F50" s="17">
        <v>5</v>
      </c>
      <c r="G50" s="22">
        <v>3</v>
      </c>
      <c r="H50" s="17" t="s">
        <v>67</v>
      </c>
      <c r="I50" s="17" t="s">
        <v>8</v>
      </c>
      <c r="J50" s="18">
        <v>42</v>
      </c>
    </row>
    <row r="51" spans="2:10" x14ac:dyDescent="0.3">
      <c r="B51" s="19">
        <v>50010</v>
      </c>
      <c r="C51" s="20">
        <v>10</v>
      </c>
      <c r="D51" s="20" t="str">
        <f t="shared" si="0"/>
        <v>str_name_quest_50010</v>
      </c>
      <c r="E51" s="20">
        <v>75</v>
      </c>
      <c r="F51" s="20">
        <v>6</v>
      </c>
      <c r="G51" s="20">
        <v>3</v>
      </c>
      <c r="H51" s="20" t="s">
        <v>64</v>
      </c>
      <c r="I51" s="20" t="s">
        <v>8</v>
      </c>
      <c r="J51" s="21">
        <v>46</v>
      </c>
    </row>
    <row r="52" spans="2:10" x14ac:dyDescent="0.3">
      <c r="B52">
        <v>60001</v>
      </c>
      <c r="C52">
        <v>1</v>
      </c>
      <c r="D52" t="str">
        <f t="shared" ref="D52:D71" si="1">"str_name_quest_"&amp;B52</f>
        <v>str_name_quest_60001</v>
      </c>
      <c r="E52" s="14">
        <v>15</v>
      </c>
      <c r="F52" s="14"/>
      <c r="G52" s="14"/>
      <c r="H52" s="17" t="s">
        <v>15</v>
      </c>
      <c r="I52" t="s">
        <v>37</v>
      </c>
      <c r="J52">
        <v>8</v>
      </c>
    </row>
    <row r="53" spans="2:10" x14ac:dyDescent="0.3">
      <c r="B53">
        <v>60002</v>
      </c>
      <c r="C53">
        <v>2</v>
      </c>
      <c r="D53" t="str">
        <f t="shared" si="1"/>
        <v>str_name_quest_60002</v>
      </c>
      <c r="E53" s="17">
        <v>20</v>
      </c>
      <c r="F53" s="17"/>
      <c r="G53" s="17"/>
      <c r="H53" s="17" t="s">
        <v>16</v>
      </c>
      <c r="I53" t="s">
        <v>37</v>
      </c>
      <c r="J53">
        <v>12</v>
      </c>
    </row>
    <row r="54" spans="2:10" x14ac:dyDescent="0.3">
      <c r="B54">
        <v>60003</v>
      </c>
      <c r="C54">
        <v>3</v>
      </c>
      <c r="D54" t="str">
        <f t="shared" si="1"/>
        <v>str_name_quest_60003</v>
      </c>
      <c r="E54" s="17">
        <v>25</v>
      </c>
      <c r="F54" s="17"/>
      <c r="G54" s="17"/>
      <c r="H54" s="17" t="s">
        <v>11</v>
      </c>
      <c r="I54" t="s">
        <v>37</v>
      </c>
      <c r="J54">
        <v>17</v>
      </c>
    </row>
    <row r="55" spans="2:10" x14ac:dyDescent="0.3">
      <c r="B55">
        <v>60004</v>
      </c>
      <c r="C55">
        <v>4</v>
      </c>
      <c r="D55" t="str">
        <f t="shared" si="1"/>
        <v>str_name_quest_60004</v>
      </c>
      <c r="E55" s="22">
        <v>20</v>
      </c>
      <c r="F55" s="22">
        <v>2</v>
      </c>
      <c r="G55" s="22">
        <v>1</v>
      </c>
      <c r="H55" s="17" t="s">
        <v>18</v>
      </c>
      <c r="I55" t="s">
        <v>37</v>
      </c>
      <c r="J55">
        <v>16</v>
      </c>
    </row>
    <row r="56" spans="2:10" x14ac:dyDescent="0.3">
      <c r="B56">
        <v>60005</v>
      </c>
      <c r="C56">
        <v>5</v>
      </c>
      <c r="D56" t="str">
        <f t="shared" si="1"/>
        <v>str_name_quest_60005</v>
      </c>
      <c r="E56" s="17">
        <v>25</v>
      </c>
      <c r="F56" s="22">
        <v>2</v>
      </c>
      <c r="G56" s="22">
        <v>1</v>
      </c>
      <c r="H56" s="17" t="s">
        <v>12</v>
      </c>
      <c r="I56" t="s">
        <v>37</v>
      </c>
      <c r="J56">
        <v>21</v>
      </c>
    </row>
    <row r="57" spans="2:10" x14ac:dyDescent="0.3">
      <c r="B57">
        <v>60006</v>
      </c>
      <c r="C57">
        <v>6</v>
      </c>
      <c r="D57" t="str">
        <f t="shared" si="1"/>
        <v>str_name_quest_60006</v>
      </c>
      <c r="E57" s="17">
        <v>30</v>
      </c>
      <c r="F57" s="17">
        <v>3</v>
      </c>
      <c r="G57" s="22">
        <v>1</v>
      </c>
      <c r="H57" s="17" t="s">
        <v>17</v>
      </c>
      <c r="I57" t="s">
        <v>37</v>
      </c>
      <c r="J57">
        <v>25</v>
      </c>
    </row>
    <row r="58" spans="2:10" x14ac:dyDescent="0.3">
      <c r="B58">
        <v>60007</v>
      </c>
      <c r="C58">
        <v>7</v>
      </c>
      <c r="D58" t="str">
        <f t="shared" si="1"/>
        <v>str_name_quest_60007</v>
      </c>
      <c r="E58" s="17">
        <v>25</v>
      </c>
      <c r="F58" s="22">
        <v>3</v>
      </c>
      <c r="G58" s="22">
        <v>2</v>
      </c>
      <c r="H58" s="17" t="s">
        <v>13</v>
      </c>
      <c r="I58" t="s">
        <v>37</v>
      </c>
      <c r="J58">
        <v>22</v>
      </c>
    </row>
    <row r="59" spans="2:10" x14ac:dyDescent="0.3">
      <c r="B59">
        <v>60008</v>
      </c>
      <c r="C59">
        <v>8</v>
      </c>
      <c r="D59" t="str">
        <f t="shared" si="1"/>
        <v>str_name_quest_60008</v>
      </c>
      <c r="E59" s="17">
        <v>30</v>
      </c>
      <c r="F59" s="17">
        <v>4</v>
      </c>
      <c r="G59" s="22">
        <v>1</v>
      </c>
      <c r="H59" s="17" t="s">
        <v>13</v>
      </c>
      <c r="I59" t="s">
        <v>37</v>
      </c>
      <c r="J59">
        <v>27</v>
      </c>
    </row>
    <row r="60" spans="2:10" x14ac:dyDescent="0.3">
      <c r="B60">
        <v>60009</v>
      </c>
      <c r="C60">
        <v>9</v>
      </c>
      <c r="D60" t="str">
        <f t="shared" si="1"/>
        <v>str_name_quest_60009</v>
      </c>
      <c r="E60" s="17">
        <v>35</v>
      </c>
      <c r="F60" s="17">
        <v>4</v>
      </c>
      <c r="G60" s="22">
        <v>2</v>
      </c>
      <c r="H60" s="17" t="s">
        <v>13</v>
      </c>
      <c r="I60" t="s">
        <v>37</v>
      </c>
      <c r="J60">
        <v>33</v>
      </c>
    </row>
    <row r="61" spans="2:10" x14ac:dyDescent="0.3">
      <c r="B61">
        <v>60010</v>
      </c>
      <c r="C61">
        <v>10</v>
      </c>
      <c r="D61" t="str">
        <f t="shared" si="1"/>
        <v>str_name_quest_60010</v>
      </c>
      <c r="E61" s="17">
        <v>30</v>
      </c>
      <c r="F61" s="17">
        <v>5</v>
      </c>
      <c r="G61" s="17">
        <v>2</v>
      </c>
      <c r="H61" s="17" t="s">
        <v>13</v>
      </c>
      <c r="I61" t="s">
        <v>37</v>
      </c>
      <c r="J61">
        <v>30</v>
      </c>
    </row>
    <row r="62" spans="2:10" x14ac:dyDescent="0.3">
      <c r="B62" s="13">
        <v>70001</v>
      </c>
      <c r="C62" s="14">
        <v>1</v>
      </c>
      <c r="D62" s="14" t="str">
        <f t="shared" si="1"/>
        <v>str_name_quest_70001</v>
      </c>
      <c r="E62" s="14">
        <v>30</v>
      </c>
      <c r="F62" s="14"/>
      <c r="G62" s="14"/>
      <c r="H62" s="14" t="s">
        <v>15</v>
      </c>
      <c r="I62" s="14" t="s">
        <v>8</v>
      </c>
      <c r="J62" s="15">
        <v>10</v>
      </c>
    </row>
    <row r="63" spans="2:10" x14ac:dyDescent="0.3">
      <c r="B63" s="16">
        <v>70002</v>
      </c>
      <c r="C63" s="17">
        <v>2</v>
      </c>
      <c r="D63" s="17" t="str">
        <f t="shared" si="1"/>
        <v>str_name_quest_70002</v>
      </c>
      <c r="E63" s="17">
        <v>35</v>
      </c>
      <c r="F63" s="17"/>
      <c r="G63" s="17"/>
      <c r="H63" s="17" t="s">
        <v>16</v>
      </c>
      <c r="I63" s="17" t="s">
        <v>8</v>
      </c>
      <c r="J63" s="18">
        <v>14</v>
      </c>
    </row>
    <row r="64" spans="2:10" x14ac:dyDescent="0.3">
      <c r="B64" s="16">
        <v>70003</v>
      </c>
      <c r="C64" s="17">
        <v>3</v>
      </c>
      <c r="D64" s="17" t="str">
        <f t="shared" si="1"/>
        <v>str_name_quest_70003</v>
      </c>
      <c r="E64" s="17">
        <v>40</v>
      </c>
      <c r="F64" s="22">
        <v>2</v>
      </c>
      <c r="G64" s="22">
        <v>1</v>
      </c>
      <c r="H64" s="17" t="s">
        <v>11</v>
      </c>
      <c r="I64" s="17" t="s">
        <v>8</v>
      </c>
      <c r="J64" s="18">
        <v>18</v>
      </c>
    </row>
    <row r="65" spans="2:10" x14ac:dyDescent="0.3">
      <c r="B65" s="16">
        <v>70004</v>
      </c>
      <c r="C65" s="17">
        <v>4</v>
      </c>
      <c r="D65" s="17" t="str">
        <f t="shared" si="1"/>
        <v>str_name_quest_70004</v>
      </c>
      <c r="E65" s="17">
        <v>45</v>
      </c>
      <c r="F65" s="22">
        <v>2</v>
      </c>
      <c r="G65" s="22">
        <v>1</v>
      </c>
      <c r="H65" s="17" t="s">
        <v>17</v>
      </c>
      <c r="I65" s="17" t="s">
        <v>8</v>
      </c>
      <c r="J65" s="18">
        <v>22</v>
      </c>
    </row>
    <row r="66" spans="2:10" x14ac:dyDescent="0.3">
      <c r="B66" s="16">
        <v>70005</v>
      </c>
      <c r="C66" s="17">
        <v>5</v>
      </c>
      <c r="D66" s="17" t="str">
        <f t="shared" si="1"/>
        <v>str_name_quest_70005</v>
      </c>
      <c r="E66" s="17">
        <v>50</v>
      </c>
      <c r="F66" s="22">
        <v>3</v>
      </c>
      <c r="G66" s="22">
        <v>1</v>
      </c>
      <c r="H66" s="17" t="s">
        <v>18</v>
      </c>
      <c r="I66" s="17" t="s">
        <v>8</v>
      </c>
      <c r="J66" s="18">
        <v>26</v>
      </c>
    </row>
    <row r="67" spans="2:10" x14ac:dyDescent="0.3">
      <c r="B67" s="16">
        <v>70006</v>
      </c>
      <c r="C67" s="17">
        <v>6</v>
      </c>
      <c r="D67" s="17" t="str">
        <f t="shared" si="1"/>
        <v>str_name_quest_70006</v>
      </c>
      <c r="E67" s="17">
        <v>55</v>
      </c>
      <c r="F67" s="17">
        <v>3</v>
      </c>
      <c r="G67" s="22">
        <v>2</v>
      </c>
      <c r="H67" s="17" t="s">
        <v>12</v>
      </c>
      <c r="I67" s="17" t="s">
        <v>8</v>
      </c>
      <c r="J67" s="18">
        <v>30</v>
      </c>
    </row>
    <row r="68" spans="2:10" x14ac:dyDescent="0.3">
      <c r="B68" s="16">
        <v>70007</v>
      </c>
      <c r="C68" s="17">
        <v>7</v>
      </c>
      <c r="D68" s="17" t="str">
        <f t="shared" si="1"/>
        <v>str_name_quest_70007</v>
      </c>
      <c r="E68" s="17">
        <v>60</v>
      </c>
      <c r="F68" s="22">
        <v>4</v>
      </c>
      <c r="G68" s="22">
        <v>2</v>
      </c>
      <c r="H68" s="17" t="s">
        <v>62</v>
      </c>
      <c r="I68" s="17" t="s">
        <v>8</v>
      </c>
      <c r="J68" s="18">
        <v>34</v>
      </c>
    </row>
    <row r="69" spans="2:10" x14ac:dyDescent="0.3">
      <c r="B69" s="16">
        <v>70008</v>
      </c>
      <c r="C69" s="17">
        <v>8</v>
      </c>
      <c r="D69" s="17" t="str">
        <f t="shared" si="1"/>
        <v>str_name_quest_70008</v>
      </c>
      <c r="E69" s="17">
        <v>65</v>
      </c>
      <c r="F69" s="17">
        <v>4</v>
      </c>
      <c r="G69" s="22">
        <v>2</v>
      </c>
      <c r="H69" s="17" t="s">
        <v>61</v>
      </c>
      <c r="I69" s="17" t="s">
        <v>8</v>
      </c>
      <c r="J69" s="18">
        <v>38</v>
      </c>
    </row>
    <row r="70" spans="2:10" x14ac:dyDescent="0.3">
      <c r="B70" s="16">
        <v>70009</v>
      </c>
      <c r="C70" s="17">
        <v>9</v>
      </c>
      <c r="D70" s="17" t="str">
        <f t="shared" si="1"/>
        <v>str_name_quest_70009</v>
      </c>
      <c r="E70" s="17">
        <v>70</v>
      </c>
      <c r="F70" s="17">
        <v>5</v>
      </c>
      <c r="G70" s="22">
        <v>2</v>
      </c>
      <c r="H70" s="17" t="s">
        <v>62</v>
      </c>
      <c r="I70" s="17" t="s">
        <v>8</v>
      </c>
      <c r="J70" s="18">
        <v>42</v>
      </c>
    </row>
    <row r="71" spans="2:10" x14ac:dyDescent="0.3">
      <c r="B71" s="19">
        <v>70010</v>
      </c>
      <c r="C71" s="20">
        <v>10</v>
      </c>
      <c r="D71" s="20" t="str">
        <f t="shared" si="1"/>
        <v>str_name_quest_70010</v>
      </c>
      <c r="E71" s="20">
        <v>75</v>
      </c>
      <c r="F71" s="20">
        <v>5</v>
      </c>
      <c r="G71" s="20">
        <v>3</v>
      </c>
      <c r="H71" s="20" t="s">
        <v>61</v>
      </c>
      <c r="I71" s="20" t="s">
        <v>8</v>
      </c>
      <c r="J71" s="21">
        <v>46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1"/>
  <sheetViews>
    <sheetView workbookViewId="0">
      <selection activeCell="C26" sqref="C26"/>
    </sheetView>
  </sheetViews>
  <sheetFormatPr defaultColWidth="8.75" defaultRowHeight="16.5" x14ac:dyDescent="0.3"/>
  <cols>
    <col min="1" max="1" width="8.75" style="1"/>
    <col min="2" max="2" width="16.125" style="1" bestFit="1" customWidth="1"/>
    <col min="3" max="3" width="12.25" style="1" customWidth="1"/>
    <col min="4" max="4" width="12.375" style="1" bestFit="1" customWidth="1"/>
    <col min="5" max="5" width="77" style="1" bestFit="1" customWidth="1"/>
    <col min="6" max="6" width="37.625" style="1" bestFit="1" customWidth="1"/>
    <col min="7" max="16384" width="8.75" style="1"/>
  </cols>
  <sheetData>
    <row r="2" spans="2:6" x14ac:dyDescent="0.25">
      <c r="B2" s="2" t="s">
        <v>19</v>
      </c>
      <c r="C2" s="3" t="s">
        <v>20</v>
      </c>
      <c r="D2" s="3" t="s">
        <v>21</v>
      </c>
      <c r="E2" s="3" t="s">
        <v>22</v>
      </c>
      <c r="F2" s="3" t="s">
        <v>23</v>
      </c>
    </row>
    <row r="3" spans="2:6" x14ac:dyDescent="0.3">
      <c r="B3" s="4" t="s">
        <v>0</v>
      </c>
      <c r="C3" s="5" t="s">
        <v>24</v>
      </c>
      <c r="D3" s="6"/>
      <c r="E3" s="7" t="s">
        <v>25</v>
      </c>
      <c r="F3" s="7"/>
    </row>
    <row r="4" spans="2:6" x14ac:dyDescent="0.3">
      <c r="B4" s="4" t="s">
        <v>1</v>
      </c>
      <c r="C4" s="8" t="s">
        <v>26</v>
      </c>
      <c r="D4" s="6"/>
      <c r="E4" s="9" t="s">
        <v>28</v>
      </c>
      <c r="F4" s="9"/>
    </row>
    <row r="5" spans="2:6" x14ac:dyDescent="0.3">
      <c r="B5" s="4" t="s">
        <v>2</v>
      </c>
      <c r="C5" s="10" t="s">
        <v>26</v>
      </c>
      <c r="D5" s="11"/>
      <c r="E5" s="9" t="s">
        <v>29</v>
      </c>
      <c r="F5" s="7"/>
    </row>
    <row r="6" spans="2:6" x14ac:dyDescent="0.3">
      <c r="B6" s="4" t="s">
        <v>3</v>
      </c>
      <c r="C6" s="8" t="s">
        <v>26</v>
      </c>
      <c r="D6" s="6"/>
      <c r="E6" s="9" t="s">
        <v>30</v>
      </c>
      <c r="F6" s="7"/>
    </row>
    <row r="7" spans="2:6" x14ac:dyDescent="0.3">
      <c r="B7" s="4" t="s">
        <v>9</v>
      </c>
      <c r="C7" s="8" t="s">
        <v>35</v>
      </c>
      <c r="D7" s="11"/>
      <c r="E7" s="9" t="s">
        <v>34</v>
      </c>
      <c r="F7" s="7"/>
    </row>
    <row r="8" spans="2:6" x14ac:dyDescent="0.3">
      <c r="B8" s="4" t="s">
        <v>14</v>
      </c>
      <c r="C8" s="8" t="s">
        <v>35</v>
      </c>
      <c r="D8" s="11"/>
      <c r="E8" s="9" t="s">
        <v>33</v>
      </c>
      <c r="F8" s="7"/>
    </row>
    <row r="9" spans="2:6" ht="66" x14ac:dyDescent="0.3">
      <c r="B9" s="4" t="s">
        <v>10</v>
      </c>
      <c r="C9" s="8" t="s">
        <v>32</v>
      </c>
      <c r="D9" s="11"/>
      <c r="E9" s="9" t="s">
        <v>31</v>
      </c>
      <c r="F9" s="7"/>
    </row>
    <row r="10" spans="2:6" ht="115.5" x14ac:dyDescent="0.3">
      <c r="B10" s="4" t="s">
        <v>4</v>
      </c>
      <c r="C10" s="8" t="s">
        <v>38</v>
      </c>
      <c r="D10" s="11"/>
      <c r="E10" s="9" t="s">
        <v>39</v>
      </c>
      <c r="F10" s="7"/>
    </row>
    <row r="11" spans="2:6" ht="99" x14ac:dyDescent="0.3">
      <c r="B11" s="4" t="s">
        <v>5</v>
      </c>
      <c r="C11" s="7" t="s">
        <v>27</v>
      </c>
      <c r="D11" s="12"/>
      <c r="E11" s="9" t="s">
        <v>36</v>
      </c>
      <c r="F11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16409-D2A6-481A-BCAF-3FF3CC2A60F1}">
  <dimension ref="A1:P51"/>
  <sheetViews>
    <sheetView workbookViewId="0">
      <selection activeCell="J7" sqref="J7"/>
    </sheetView>
  </sheetViews>
  <sheetFormatPr defaultRowHeight="16.5" x14ac:dyDescent="0.3"/>
  <cols>
    <col min="2" max="2" width="11.625" bestFit="1" customWidth="1"/>
    <col min="10" max="10" width="79.5" bestFit="1" customWidth="1"/>
    <col min="16" max="16" width="32.75" customWidth="1"/>
  </cols>
  <sheetData>
    <row r="1" spans="1:16" ht="115.5" x14ac:dyDescent="0.3">
      <c r="A1" t="s">
        <v>40</v>
      </c>
      <c r="B1" t="s">
        <v>52</v>
      </c>
      <c r="H1" t="s">
        <v>41</v>
      </c>
      <c r="I1" t="s">
        <v>43</v>
      </c>
      <c r="J1" t="s">
        <v>44</v>
      </c>
      <c r="P1" s="9" t="s">
        <v>39</v>
      </c>
    </row>
    <row r="2" spans="1:16" x14ac:dyDescent="0.3">
      <c r="A2">
        <f>Export!B2</f>
        <v>10001</v>
      </c>
      <c r="B2">
        <f>Export!J2/Export!E2</f>
        <v>0.2</v>
      </c>
      <c r="H2">
        <v>1</v>
      </c>
      <c r="I2" t="s">
        <v>42</v>
      </c>
      <c r="J2" t="s">
        <v>54</v>
      </c>
      <c r="L2" t="s">
        <v>49</v>
      </c>
    </row>
    <row r="3" spans="1:16" x14ac:dyDescent="0.3">
      <c r="A3">
        <f>Export!B3</f>
        <v>10002</v>
      </c>
      <c r="B3">
        <f>Export!J3/Export!E3</f>
        <v>0.3</v>
      </c>
      <c r="H3">
        <v>2</v>
      </c>
      <c r="I3" t="s">
        <v>42</v>
      </c>
      <c r="J3" t="s">
        <v>56</v>
      </c>
      <c r="L3">
        <f>1/7</f>
        <v>0.14285714285714285</v>
      </c>
    </row>
    <row r="4" spans="1:16" x14ac:dyDescent="0.3">
      <c r="A4">
        <f>Export!B4</f>
        <v>10003</v>
      </c>
      <c r="B4">
        <f>Export!J4/Export!E4</f>
        <v>0.4</v>
      </c>
      <c r="H4">
        <v>3</v>
      </c>
      <c r="I4" t="s">
        <v>42</v>
      </c>
      <c r="J4" t="s">
        <v>57</v>
      </c>
      <c r="L4" t="s">
        <v>51</v>
      </c>
    </row>
    <row r="5" spans="1:16" x14ac:dyDescent="0.3">
      <c r="A5">
        <f>Export!B5</f>
        <v>10004</v>
      </c>
      <c r="B5">
        <f>Export!J5/Export!E5</f>
        <v>0.5</v>
      </c>
      <c r="H5">
        <v>4</v>
      </c>
      <c r="I5" t="s">
        <v>45</v>
      </c>
      <c r="J5" t="s">
        <v>55</v>
      </c>
      <c r="L5" t="s">
        <v>50</v>
      </c>
    </row>
    <row r="6" spans="1:16" x14ac:dyDescent="0.3">
      <c r="A6">
        <f>Export!B6</f>
        <v>10005</v>
      </c>
      <c r="B6">
        <f>Export!J6/Export!E6</f>
        <v>0.53333333333333333</v>
      </c>
      <c r="H6">
        <v>5</v>
      </c>
      <c r="I6" t="s">
        <v>46</v>
      </c>
      <c r="J6" t="s">
        <v>59</v>
      </c>
    </row>
    <row r="7" spans="1:16" x14ac:dyDescent="0.3">
      <c r="A7">
        <f>Export!B7</f>
        <v>10006</v>
      </c>
      <c r="B7">
        <f>Export!J7/Export!E7</f>
        <v>0.55000000000000004</v>
      </c>
      <c r="H7">
        <v>6</v>
      </c>
      <c r="I7" t="s">
        <v>47</v>
      </c>
      <c r="J7" t="s">
        <v>58</v>
      </c>
    </row>
    <row r="8" spans="1:16" x14ac:dyDescent="0.3">
      <c r="A8">
        <f>Export!B8</f>
        <v>10007</v>
      </c>
      <c r="B8">
        <f>Export!J8/Export!E8</f>
        <v>0.66666666666666663</v>
      </c>
      <c r="H8">
        <v>7</v>
      </c>
      <c r="I8" t="s">
        <v>48</v>
      </c>
      <c r="J8" t="s">
        <v>60</v>
      </c>
    </row>
    <row r="9" spans="1:16" x14ac:dyDescent="0.3">
      <c r="A9">
        <f>Export!B9</f>
        <v>10008</v>
      </c>
      <c r="B9">
        <f>Export!J9/Export!E9</f>
        <v>0.7</v>
      </c>
    </row>
    <row r="10" spans="1:16" x14ac:dyDescent="0.3">
      <c r="A10">
        <f>Export!B10</f>
        <v>10009</v>
      </c>
      <c r="B10">
        <f>Export!J10/Export!E10</f>
        <v>0.72</v>
      </c>
      <c r="J10" t="s">
        <v>53</v>
      </c>
    </row>
    <row r="11" spans="1:16" x14ac:dyDescent="0.3">
      <c r="A11">
        <f>Export!B11</f>
        <v>10010</v>
      </c>
      <c r="B11">
        <f>Export!J11/Export!E11</f>
        <v>0.8</v>
      </c>
    </row>
    <row r="12" spans="1:16" x14ac:dyDescent="0.3">
      <c r="A12">
        <f>Export!B12</f>
        <v>20001</v>
      </c>
      <c r="B12">
        <f>Export!J12/Export!E12</f>
        <v>0.2</v>
      </c>
    </row>
    <row r="13" spans="1:16" x14ac:dyDescent="0.3">
      <c r="A13">
        <f>Export!B13</f>
        <v>20002</v>
      </c>
      <c r="B13">
        <f>Export!J13/Export!E13</f>
        <v>0.28000000000000003</v>
      </c>
    </row>
    <row r="14" spans="1:16" x14ac:dyDescent="0.3">
      <c r="A14">
        <f>Export!B14</f>
        <v>20003</v>
      </c>
      <c r="B14">
        <f>Export!J14/Export!E14</f>
        <v>0.33333333333333331</v>
      </c>
    </row>
    <row r="15" spans="1:16" x14ac:dyDescent="0.3">
      <c r="A15">
        <f>Export!B15</f>
        <v>20004</v>
      </c>
      <c r="B15">
        <f>Export!J15/Export!E15</f>
        <v>0.4</v>
      </c>
    </row>
    <row r="16" spans="1:16" x14ac:dyDescent="0.3">
      <c r="A16">
        <f>Export!B16</f>
        <v>20005</v>
      </c>
      <c r="B16">
        <f>Export!J16/Export!E16</f>
        <v>0.5</v>
      </c>
    </row>
    <row r="17" spans="1:2" x14ac:dyDescent="0.3">
      <c r="A17">
        <f>Export!B17</f>
        <v>20006</v>
      </c>
      <c r="B17">
        <f>Export!J17/Export!E17</f>
        <v>0.51428571428571423</v>
      </c>
    </row>
    <row r="18" spans="1:2" x14ac:dyDescent="0.3">
      <c r="A18">
        <f>Export!B18</f>
        <v>20007</v>
      </c>
      <c r="B18">
        <f>Export!J18/Export!E18</f>
        <v>0.57499999999999996</v>
      </c>
    </row>
    <row r="19" spans="1:2" x14ac:dyDescent="0.3">
      <c r="A19">
        <f>Export!B19</f>
        <v>20008</v>
      </c>
      <c r="B19">
        <f>Export!J19/Export!E19</f>
        <v>0.62857142857142856</v>
      </c>
    </row>
    <row r="20" spans="1:2" x14ac:dyDescent="0.3">
      <c r="A20">
        <f>Export!B20</f>
        <v>20009</v>
      </c>
      <c r="B20">
        <f>Export!J20/Export!E20</f>
        <v>0.67500000000000004</v>
      </c>
    </row>
    <row r="21" spans="1:2" x14ac:dyDescent="0.3">
      <c r="A21">
        <f>Export!B21</f>
        <v>20010</v>
      </c>
      <c r="B21">
        <f>Export!J21/Export!E21</f>
        <v>0.71111111111111114</v>
      </c>
    </row>
    <row r="22" spans="1:2" x14ac:dyDescent="0.3">
      <c r="A22">
        <f>Export!B22</f>
        <v>30001</v>
      </c>
      <c r="B22">
        <f>Export!J22/Export!E22</f>
        <v>0.18333333333333332</v>
      </c>
    </row>
    <row r="23" spans="1:2" x14ac:dyDescent="0.3">
      <c r="A23">
        <f>Export!B23</f>
        <v>30002</v>
      </c>
      <c r="B23">
        <f>Export!J23/Export!E23</f>
        <v>0.2857142857142857</v>
      </c>
    </row>
    <row r="24" spans="1:2" x14ac:dyDescent="0.3">
      <c r="A24">
        <f>Export!B24</f>
        <v>30003</v>
      </c>
      <c r="B24">
        <f>Export!J24/Export!E24</f>
        <v>0.375</v>
      </c>
    </row>
    <row r="25" spans="1:2" x14ac:dyDescent="0.3">
      <c r="A25">
        <f>Export!B25</f>
        <v>30004</v>
      </c>
      <c r="B25">
        <f>Export!J25/Export!E25</f>
        <v>0.44444444444444442</v>
      </c>
    </row>
    <row r="26" spans="1:2" x14ac:dyDescent="0.3">
      <c r="A26">
        <f>Export!B26</f>
        <v>30005</v>
      </c>
      <c r="B26">
        <f>Export!J26/Export!E26</f>
        <v>0.5</v>
      </c>
    </row>
    <row r="27" spans="1:2" x14ac:dyDescent="0.3">
      <c r="A27">
        <f>Export!B27</f>
        <v>30006</v>
      </c>
      <c r="B27">
        <f>Export!J27/Export!E27</f>
        <v>0.54545454545454541</v>
      </c>
    </row>
    <row r="28" spans="1:2" x14ac:dyDescent="0.3">
      <c r="A28">
        <f>Export!B28</f>
        <v>30007</v>
      </c>
      <c r="B28">
        <f>Export!J28/Export!E28</f>
        <v>0.58333333333333337</v>
      </c>
    </row>
    <row r="29" spans="1:2" x14ac:dyDescent="0.3">
      <c r="A29">
        <f>Export!B29</f>
        <v>30008</v>
      </c>
      <c r="B29">
        <f>Export!J29/Export!E29</f>
        <v>0.61538461538461542</v>
      </c>
    </row>
    <row r="30" spans="1:2" x14ac:dyDescent="0.3">
      <c r="A30">
        <f>Export!B30</f>
        <v>30009</v>
      </c>
      <c r="B30">
        <f>Export!J30/Export!E30</f>
        <v>0.6428571428571429</v>
      </c>
    </row>
    <row r="31" spans="1:2" x14ac:dyDescent="0.3">
      <c r="A31">
        <f>Export!B31</f>
        <v>30010</v>
      </c>
      <c r="B31">
        <f>Export!J31/Export!E31</f>
        <v>0.66666666666666663</v>
      </c>
    </row>
    <row r="32" spans="1:2" x14ac:dyDescent="0.3">
      <c r="A32">
        <f>Export!B32</f>
        <v>40001</v>
      </c>
      <c r="B32">
        <f>Export!J32/Export!E32</f>
        <v>0.83333333333333337</v>
      </c>
    </row>
    <row r="33" spans="1:2" x14ac:dyDescent="0.3">
      <c r="A33">
        <f>Export!B33</f>
        <v>40002</v>
      </c>
      <c r="B33">
        <f>Export!J33/Export!E33</f>
        <v>1.0666666666666667</v>
      </c>
    </row>
    <row r="34" spans="1:2" x14ac:dyDescent="0.3">
      <c r="A34">
        <f>Export!B34</f>
        <v>40003</v>
      </c>
      <c r="B34">
        <f>Export!J34/Export!E34</f>
        <v>1.2222222222222223</v>
      </c>
    </row>
    <row r="35" spans="1:2" x14ac:dyDescent="0.3">
      <c r="A35">
        <f>Export!B35</f>
        <v>40004</v>
      </c>
      <c r="B35">
        <f>Export!J35/Export!E35</f>
        <v>1.4285714285714286</v>
      </c>
    </row>
    <row r="36" spans="1:2" x14ac:dyDescent="0.3">
      <c r="A36">
        <f>Export!B36</f>
        <v>40005</v>
      </c>
      <c r="B36">
        <f>Export!J36/Export!E36</f>
        <v>1.6666666666666667</v>
      </c>
    </row>
    <row r="37" spans="1:2" x14ac:dyDescent="0.3">
      <c r="A37">
        <f>Export!B37</f>
        <v>40006</v>
      </c>
      <c r="B37">
        <f>Export!J37/Export!E37</f>
        <v>1.8518518518518519</v>
      </c>
    </row>
    <row r="38" spans="1:2" x14ac:dyDescent="0.3">
      <c r="A38">
        <f>Export!B38</f>
        <v>40007</v>
      </c>
      <c r="B38">
        <f>Export!J38/Export!E38</f>
        <v>2.2000000000000002</v>
      </c>
    </row>
    <row r="39" spans="1:2" x14ac:dyDescent="0.3">
      <c r="A39">
        <f>Export!B39</f>
        <v>40008</v>
      </c>
      <c r="B39">
        <f>Export!J39/Export!E39</f>
        <v>2.5454545454545454</v>
      </c>
    </row>
    <row r="40" spans="1:2" x14ac:dyDescent="0.3">
      <c r="A40">
        <f>Export!B40</f>
        <v>40009</v>
      </c>
      <c r="B40">
        <f>Export!J40/Export!E40</f>
        <v>2.7777777777777777</v>
      </c>
    </row>
    <row r="41" spans="1:2" x14ac:dyDescent="0.3">
      <c r="A41">
        <f>Export!B41</f>
        <v>40010</v>
      </c>
      <c r="B41">
        <f>Export!J41/Export!E41</f>
        <v>3</v>
      </c>
    </row>
    <row r="42" spans="1:2" x14ac:dyDescent="0.3">
      <c r="A42">
        <f>Export!B42</f>
        <v>50001</v>
      </c>
      <c r="B42">
        <f>Export!J42/Export!E42</f>
        <v>0.33333333333333331</v>
      </c>
    </row>
    <row r="43" spans="1:2" x14ac:dyDescent="0.3">
      <c r="A43">
        <f>Export!B43</f>
        <v>50002</v>
      </c>
      <c r="B43">
        <f>Export!J43/Export!E43</f>
        <v>0.4</v>
      </c>
    </row>
    <row r="44" spans="1:2" x14ac:dyDescent="0.3">
      <c r="A44">
        <f>Export!B44</f>
        <v>50003</v>
      </c>
      <c r="B44">
        <f>Export!J44/Export!E44</f>
        <v>0.45</v>
      </c>
    </row>
    <row r="45" spans="1:2" x14ac:dyDescent="0.3">
      <c r="A45">
        <f>Export!B45</f>
        <v>50004</v>
      </c>
      <c r="B45">
        <f>Export!J45/Export!E45</f>
        <v>0.48888888888888887</v>
      </c>
    </row>
    <row r="46" spans="1:2" x14ac:dyDescent="0.3">
      <c r="A46">
        <f>Export!B46</f>
        <v>50005</v>
      </c>
      <c r="B46">
        <f>Export!J46/Export!E46</f>
        <v>0.52</v>
      </c>
    </row>
    <row r="47" spans="1:2" x14ac:dyDescent="0.3">
      <c r="A47">
        <f>Export!B47</f>
        <v>50006</v>
      </c>
      <c r="B47">
        <f>Export!J47/Export!E47</f>
        <v>0.54545454545454541</v>
      </c>
    </row>
    <row r="48" spans="1:2" x14ac:dyDescent="0.3">
      <c r="A48">
        <f>Export!B48</f>
        <v>50007</v>
      </c>
      <c r="B48">
        <f>Export!J48/Export!E48</f>
        <v>0.56666666666666665</v>
      </c>
    </row>
    <row r="49" spans="1:2" x14ac:dyDescent="0.3">
      <c r="A49">
        <f>Export!B49</f>
        <v>50008</v>
      </c>
      <c r="B49">
        <f>Export!J49/Export!E49</f>
        <v>0.58461538461538465</v>
      </c>
    </row>
    <row r="50" spans="1:2" x14ac:dyDescent="0.3">
      <c r="A50">
        <f>Export!B50</f>
        <v>50009</v>
      </c>
      <c r="B50">
        <f>Export!J50/Export!E50</f>
        <v>0.6</v>
      </c>
    </row>
    <row r="51" spans="1:2" x14ac:dyDescent="0.3">
      <c r="A51">
        <f>Export!B51</f>
        <v>50010</v>
      </c>
      <c r="B51">
        <f>Export!J51/Export!E51</f>
        <v>0.61333333333333329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description</vt:lpstr>
      <vt:lpstr>sim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2022-07-03T07:18:33Z</dcterms:modified>
</cp:coreProperties>
</file>