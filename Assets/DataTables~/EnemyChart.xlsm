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4AEFE333-A973-45D4-8199-121BA7DBEC81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0" i="2" l="1"/>
  <c r="F31" i="2"/>
  <c r="F39" i="2"/>
  <c r="F42" i="2"/>
  <c r="F44" i="2"/>
  <c r="F47" i="2"/>
  <c r="F48" i="2"/>
  <c r="F52" i="2"/>
  <c r="F59" i="2"/>
  <c r="F60" i="2"/>
  <c r="F62" i="2"/>
  <c r="F66" i="2"/>
  <c r="F67" i="2"/>
  <c r="F71" i="2"/>
  <c r="F83" i="2"/>
  <c r="F84" i="2"/>
  <c r="F85" i="2"/>
  <c r="F92" i="2"/>
  <c r="F94" i="2"/>
  <c r="F18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73" i="2"/>
  <c r="J74" i="2"/>
  <c r="J75" i="2"/>
  <c r="J76" i="2"/>
  <c r="J77" i="2"/>
  <c r="J78" i="2"/>
  <c r="J79" i="2"/>
  <c r="J80" i="2"/>
  <c r="J81" i="2"/>
  <c r="J82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99" i="2"/>
  <c r="J100" i="2"/>
  <c r="J101" i="2"/>
  <c r="J102" i="2"/>
  <c r="J103" i="2"/>
  <c r="J104" i="2"/>
  <c r="J105" i="2"/>
  <c r="J106" i="2"/>
  <c r="J107" i="2"/>
  <c r="J108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2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93" i="2"/>
  <c r="D93" i="2"/>
  <c r="C94" i="2"/>
  <c r="D94" i="2"/>
  <c r="C95" i="2"/>
  <c r="D95" i="2"/>
  <c r="C96" i="2"/>
  <c r="D96" i="2"/>
  <c r="C97" i="2"/>
  <c r="D97" i="2"/>
  <c r="C98" i="2"/>
  <c r="D98" i="2"/>
  <c r="C83" i="2"/>
  <c r="D83" i="2"/>
  <c r="M108" i="2"/>
  <c r="M107" i="2"/>
  <c r="M106" i="2"/>
  <c r="M105" i="2"/>
  <c r="M104" i="2"/>
  <c r="M103" i="2"/>
  <c r="M102" i="2"/>
  <c r="M101" i="2"/>
  <c r="M100" i="2"/>
  <c r="M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C107" i="2"/>
  <c r="D107" i="2"/>
  <c r="C108" i="2"/>
  <c r="D108" i="2"/>
  <c r="C99" i="2"/>
  <c r="D99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82" i="2"/>
  <c r="M81" i="2"/>
  <c r="M80" i="2"/>
  <c r="M79" i="2"/>
  <c r="M78" i="2"/>
  <c r="M77" i="2"/>
  <c r="M76" i="2"/>
  <c r="M75" i="2"/>
  <c r="M74" i="2"/>
  <c r="M73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59" i="2"/>
  <c r="D59" i="2"/>
  <c r="C77" i="2"/>
  <c r="D77" i="2"/>
  <c r="C78" i="2"/>
  <c r="D78" i="2"/>
  <c r="C79" i="2"/>
  <c r="D79" i="2"/>
  <c r="C80" i="2"/>
  <c r="D80" i="2"/>
  <c r="C81" i="2"/>
  <c r="D81" i="2"/>
  <c r="C82" i="2"/>
  <c r="D82" i="2"/>
  <c r="C76" i="2"/>
  <c r="D76" i="2"/>
  <c r="C75" i="2"/>
  <c r="D75" i="2"/>
  <c r="C74" i="2"/>
  <c r="D74" i="2"/>
  <c r="C73" i="2"/>
  <c r="D73" i="2"/>
  <c r="M48" i="2"/>
  <c r="C48" i="2"/>
  <c r="D48" i="2"/>
  <c r="M58" i="2"/>
  <c r="M57" i="2"/>
  <c r="M56" i="2"/>
  <c r="M55" i="2"/>
  <c r="M54" i="2"/>
  <c r="M53" i="2"/>
  <c r="M52" i="2"/>
  <c r="M51" i="2"/>
  <c r="M50" i="2"/>
  <c r="M49" i="2"/>
  <c r="C58" i="2"/>
  <c r="D58" i="2"/>
  <c r="C57" i="2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50" i="2"/>
  <c r="D50" i="2"/>
  <c r="C49" i="2"/>
  <c r="D49" i="2"/>
  <c r="M47" i="2"/>
  <c r="M46" i="2"/>
  <c r="M45" i="2"/>
  <c r="M44" i="2"/>
  <c r="M43" i="2"/>
  <c r="M42" i="2"/>
  <c r="M41" i="2"/>
  <c r="M40" i="2"/>
  <c r="M39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M34" i="2"/>
  <c r="M35" i="2"/>
  <c r="M36" i="2"/>
  <c r="M37" i="2"/>
  <c r="M38" i="2"/>
  <c r="M33" i="2"/>
  <c r="M32" i="2"/>
  <c r="M31" i="2"/>
  <c r="M30" i="2"/>
  <c r="M29" i="2"/>
  <c r="M28" i="2"/>
  <c r="M27" i="2"/>
  <c r="M26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M25" i="2"/>
  <c r="C25" i="2"/>
  <c r="D25" i="2"/>
  <c r="M24" i="2"/>
  <c r="M23" i="2"/>
  <c r="M22" i="2"/>
  <c r="C24" i="2"/>
  <c r="D24" i="2"/>
  <c r="C23" i="2"/>
  <c r="D23" i="2"/>
  <c r="C22" i="2"/>
  <c r="D22" i="2"/>
  <c r="M21" i="2"/>
  <c r="C21" i="2"/>
  <c r="D21" i="2"/>
  <c r="M20" i="2"/>
  <c r="C20" i="2"/>
  <c r="D20" i="2"/>
  <c r="M19" i="2"/>
  <c r="D19" i="2"/>
  <c r="C19" i="2"/>
  <c r="M18" i="2"/>
  <c r="C18" i="2"/>
  <c r="D18" i="2"/>
  <c r="M12" i="2"/>
  <c r="C12" i="2"/>
  <c r="D12" i="2"/>
  <c r="M3" i="2"/>
  <c r="M4" i="2"/>
  <c r="M5" i="2"/>
  <c r="M6" i="2"/>
  <c r="M7" i="2"/>
  <c r="M8" i="2"/>
  <c r="M9" i="2"/>
  <c r="M10" i="2"/>
  <c r="M11" i="2"/>
  <c r="M13" i="2"/>
  <c r="M14" i="2"/>
  <c r="M15" i="2"/>
  <c r="M16" i="2"/>
  <c r="M17" i="2"/>
  <c r="M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<sst xmlns="http://schemas.openxmlformats.org/spreadsheetml/2006/main" count="437" uniqueCount="177">
  <si>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</si>
  <si>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</si>
  <si>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</si>
  <si>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</si>
  <si>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</si>
  <si>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</si>
  <si>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</si>
  <si>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</si>
  <si>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</si>
  <si>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</si>
  <si>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</si>
  <si>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</si>
  <si>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</si>
  <si>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</si>
  <si>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</si>
  <si>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</si>
  <si>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</si>
  <si>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</si>
  <si>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</si>
  <si>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</si>
  <si>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</si>
  <si>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</si>
  <si>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</si>
  <si>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</si>
  <si>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</si>
  <si>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</si>
  <si>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</si>
  <si>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</si>
  <si>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</si>
  <si>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</si>
  <si>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</si>
  <si>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</si>
  <si>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</si>
  <si>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</si>
  <si>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</si>
  <si>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</si>
  <si>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</si>
  <si>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</si>
  <si>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</si>
  <si>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</si>
  <si>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</si>
  <si>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</si>
  <si>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</si>
  <si>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</si>
  <si>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</si>
  <si>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</si>
  <si>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</si>
  <si>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</si>
  <si>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</si>
  <si>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</si>
  <si>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</si>
  <si>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</si>
  <si>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</si>
  <si>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</si>
  <si>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</si>
  <si>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</si>
  <si>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</si>
  <si>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</si>
  <si>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</si>
  <si>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</si>
  <si>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</si>
  <si>
    <t>Def</t>
    <phoneticPr fontId="1" type="noConversion"/>
  </si>
  <si>
    <t>적 방어력(%)</t>
    <phoneticPr fontId="1" type="noConversion"/>
  </si>
  <si>
    <t>SlimeHealer</t>
    <phoneticPr fontId="1" type="noConversion"/>
  </si>
  <si>
    <t>SeaAbismos</t>
    <phoneticPr fontId="1" type="noConversion"/>
  </si>
  <si>
    <t>SeaTortoad</t>
    <phoneticPr fontId="1" type="noConversion"/>
  </si>
  <si>
    <t>GiantBug</t>
    <phoneticPr fontId="1" type="noConversion"/>
  </si>
  <si>
    <t>SeaDragon</t>
    <phoneticPr fontId="1" type="noConversion"/>
  </si>
  <si>
    <t>ShellClaw</t>
    <phoneticPr fontId="1" type="noConversion"/>
  </si>
  <si>
    <t>CrocodileKing</t>
    <phoneticPr fontId="1" type="noConversion"/>
  </si>
  <si>
    <t>IceBat</t>
  </si>
  <si>
    <t>IceBat</t>
    <phoneticPr fontId="1" type="noConversion"/>
  </si>
  <si>
    <t>GazersSkull</t>
  </si>
  <si>
    <t>GazersSkull</t>
    <phoneticPr fontId="1" type="noConversion"/>
  </si>
  <si>
    <t>GrizzlyBear</t>
  </si>
  <si>
    <t>GrizzlyBear</t>
    <phoneticPr fontId="1" type="noConversion"/>
  </si>
  <si>
    <t>IceCarbuncle</t>
  </si>
  <si>
    <t>IceLion</t>
  </si>
  <si>
    <t>IceTitan</t>
  </si>
  <si>
    <t>IceYeti</t>
  </si>
  <si>
    <t>SlimeKing</t>
  </si>
  <si>
    <t>XmasBear</t>
  </si>
  <si>
    <t>Shiva</t>
  </si>
  <si>
    <t xml:space="preserve">IceDemonAura </t>
  </si>
  <si>
    <t>IceTitan2</t>
  </si>
  <si>
    <t>WinterWolf</t>
    <phoneticPr fontId="1" type="noConversion"/>
  </si>
  <si>
    <t>QueenRafflesia</t>
    <phoneticPr fontId="1" type="noConversion"/>
  </si>
  <si>
    <t>Tiamat</t>
  </si>
  <si>
    <t>BossTheFallen</t>
  </si>
  <si>
    <t>BloodFeral</t>
  </si>
  <si>
    <t>ColossalHydra</t>
  </si>
  <si>
    <t>EarthSpirit</t>
  </si>
  <si>
    <t>WindLion</t>
  </si>
  <si>
    <t>Cerberus</t>
  </si>
  <si>
    <t>HalloweenWitch</t>
  </si>
  <si>
    <t>Capricorn</t>
  </si>
  <si>
    <t>CritterRabbit</t>
    <phoneticPr fontId="1" type="noConversion"/>
  </si>
  <si>
    <t>BlackAntKnight</t>
  </si>
  <si>
    <t>WindBird</t>
  </si>
  <si>
    <t>ToxicPlant</t>
  </si>
  <si>
    <t>ClockworkSpider</t>
  </si>
  <si>
    <t>EarthLion</t>
  </si>
  <si>
    <t>GreathornGoat</t>
  </si>
  <si>
    <t>ColossalSnake</t>
  </si>
  <si>
    <t>AspiringKnight</t>
    <phoneticPr fontId="1" type="noConversion"/>
  </si>
  <si>
    <t>ClockworkSkull</t>
  </si>
  <si>
    <t>Sion</t>
  </si>
  <si>
    <t>Undeen</t>
  </si>
  <si>
    <t>Drakenvamp</t>
  </si>
  <si>
    <t>Thanatos</t>
  </si>
  <si>
    <t>Poseidon</t>
  </si>
  <si>
    <t>Tantalus</t>
  </si>
  <si>
    <t>DiscipleArcane</t>
  </si>
  <si>
    <t>GodNovus</t>
  </si>
  <si>
    <t>GoddessInnova</t>
  </si>
  <si>
    <t>Alstreim</t>
    <phoneticPr fontId="1" type="noConversion"/>
  </si>
  <si>
    <t>Mabon</t>
    <phoneticPr fontId="1" type="noConversion"/>
  </si>
  <si>
    <t>KnightSword</t>
    <phoneticPr fontId="1" type="noConversion"/>
  </si>
  <si>
    <t>Debons</t>
  </si>
  <si>
    <t>DarknessAngel</t>
  </si>
  <si>
    <t>Dullahan</t>
  </si>
  <si>
    <t>ElfKnight</t>
  </si>
  <si>
    <t>Mermaid</t>
  </si>
  <si>
    <t>GemstoneGolem</t>
  </si>
  <si>
    <t>FeralHunter</t>
  </si>
  <si>
    <t>SkeletonDragon</t>
  </si>
  <si>
    <t>KnightAxe</t>
  </si>
  <si>
    <t>MachineryScout</t>
  </si>
  <si>
    <t>FireAngel</t>
  </si>
  <si>
    <t>BladeReaper</t>
  </si>
  <si>
    <t>OrcChiefGruntB</t>
    <phoneticPr fontId="1" type="noConversion"/>
  </si>
  <si>
    <t>OrcSwordWarriorB</t>
    <phoneticPr fontId="1" type="noConversion"/>
  </si>
  <si>
    <t>OrcWarlockB</t>
    <phoneticPr fontId="1" type="noConversion"/>
  </si>
  <si>
    <t>FallenKingB</t>
    <phoneticPr fontId="1" type="noConversion"/>
  </si>
  <si>
    <t>SlimeHealerB</t>
    <phoneticPr fontId="1" type="noConversion"/>
  </si>
  <si>
    <t>SeaAbismosB</t>
    <phoneticPr fontId="1" type="noConversion"/>
  </si>
  <si>
    <t>SeaTortoadB</t>
    <phoneticPr fontId="1" type="noConversion"/>
  </si>
  <si>
    <t>GiantBugB</t>
    <phoneticPr fontId="1" type="noConversion"/>
  </si>
  <si>
    <t>ShellClawB</t>
    <phoneticPr fontId="1" type="noConversion"/>
  </si>
  <si>
    <t>SeaDragonB</t>
    <phoneticPr fontId="1" type="noConversion"/>
  </si>
  <si>
    <t>IceLion</t>
    <phoneticPr fontId="1" type="noConversion"/>
  </si>
  <si>
    <t>IceBatB</t>
    <phoneticPr fontId="1" type="noConversion"/>
  </si>
  <si>
    <t>IceCarbuncleB</t>
    <phoneticPr fontId="1" type="noConversion"/>
  </si>
  <si>
    <t>GazersSkullB</t>
    <phoneticPr fontId="1" type="noConversion"/>
  </si>
  <si>
    <t>IceYetiB</t>
    <phoneticPr fontId="1" type="noConversion"/>
  </si>
  <si>
    <t>IceLionB</t>
    <phoneticPr fontId="1" type="noConversion"/>
  </si>
  <si>
    <t>GrizzlyBearB</t>
    <phoneticPr fontId="1" type="noConversion"/>
  </si>
  <si>
    <t>IceTitan2B</t>
    <phoneticPr fontId="1" type="noConversion"/>
  </si>
  <si>
    <t>IceDemonAuraB</t>
    <phoneticPr fontId="1" type="noConversion"/>
  </si>
  <si>
    <t>ShivaB</t>
    <phoneticPr fontId="1" type="noConversion"/>
  </si>
  <si>
    <t>HalloweenWitchB</t>
    <phoneticPr fontId="1" type="noConversion"/>
  </si>
  <si>
    <t>EarthSpiritB</t>
    <phoneticPr fontId="1" type="noConversion"/>
  </si>
  <si>
    <t>WindLionB</t>
    <phoneticPr fontId="1" type="noConversion"/>
  </si>
  <si>
    <t>CerberusB</t>
    <phoneticPr fontId="1" type="noConversion"/>
  </si>
  <si>
    <t>CapricornB</t>
    <phoneticPr fontId="1" type="noConversion"/>
  </si>
  <si>
    <t>ColossalHydraB</t>
    <phoneticPr fontId="1" type="noConversion"/>
  </si>
  <si>
    <t>BossTheFallenB</t>
    <phoneticPr fontId="1" type="noConversion"/>
  </si>
  <si>
    <t>BloodFeralB</t>
    <phoneticPr fontId="1" type="noConversion"/>
  </si>
  <si>
    <t>TiamatB</t>
    <phoneticPr fontId="1" type="noConversion"/>
  </si>
  <si>
    <t>QueenRafflesiaB</t>
    <phoneticPr fontId="1" type="noConversion"/>
  </si>
  <si>
    <t>AspiringKnightB</t>
    <phoneticPr fontId="1" type="noConversion"/>
  </si>
  <si>
    <t>SionB</t>
    <phoneticPr fontId="1" type="noConversion"/>
  </si>
  <si>
    <t>UndeenB</t>
    <phoneticPr fontId="1" type="noConversion"/>
  </si>
  <si>
    <t>DrakenvampB</t>
    <phoneticPr fontId="1" type="noConversion"/>
  </si>
  <si>
    <t>ThanatosB</t>
    <phoneticPr fontId="1" type="noConversion"/>
  </si>
  <si>
    <t>GoddessInnovaB</t>
    <phoneticPr fontId="1" type="noConversion"/>
  </si>
  <si>
    <t>PoseidonB</t>
    <phoneticPr fontId="1" type="noConversion"/>
  </si>
  <si>
    <t>TantalusB</t>
    <phoneticPr fontId="1" type="noConversion"/>
  </si>
  <si>
    <t>GodNovusB</t>
    <phoneticPr fontId="1" type="noConversion"/>
  </si>
  <si>
    <t>DiscipleArcaneB</t>
    <phoneticPr fontId="1" type="noConversion"/>
  </si>
  <si>
    <t>Shape</t>
    <phoneticPr fontId="1" type="noConversion"/>
  </si>
  <si>
    <t>Circle</t>
    <phoneticPr fontId="1" type="noConversion"/>
  </si>
  <si>
    <t>Pentagon</t>
    <phoneticPr fontId="1" type="noConversion"/>
  </si>
  <si>
    <t>PentagonO</t>
    <phoneticPr fontId="1" type="noConversion"/>
  </si>
  <si>
    <t>Polygon</t>
    <phoneticPr fontId="1" type="noConversion"/>
  </si>
  <si>
    <t>Octagon</t>
    <phoneticPr fontId="1" type="noConversion"/>
  </si>
  <si>
    <t>Circle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</si>
</sst>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8"/>
  <sheetViews>
    <sheetView tabSelected="1" workbookViewId="0">
      <selection activeCell="H14" sqref="H14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5.796875" customWidth="1"/>
    <col min="7" max="7" width="13.19921875" customWidth="1"/>
    <col min="14" max="14" width="16.5" bestFit="1" customWidth="1"/>
  </cols>
  <sheetData>
    <row r="1" spans="2:14" ht="33.75" customHeight="1">
      <c r="B1" t="s">
        <v>0</v>
      </c>
      <c r="C1" t="s">
        <v>2</v>
      </c>
      <c r="D1" t="s">
        <v>3</v>
      </c>
      <c r="E1" t="s">
        <v>1</v>
      </c>
      <c r="F1" t="s">
        <v>170</v>
      </c>
      <c r="G1" t="s">
        <v>9</v>
      </c>
      <c r="H1" t="s">
        <v>4</v>
      </c>
      <c r="I1" t="s">
        <v>13</v>
      </c>
      <c r="J1" t="s">
        <v>6</v>
      </c>
      <c r="K1" t="s">
        <v>5</v>
      </c>
      <c r="L1" t="s">
        <v>61</v>
      </c>
      <c r="M1" t="s">
        <v>7</v>
      </c>
      <c r="N1" t="s">
        <v>8</v>
      </c>
    </row>
    <row r="2" spans="2:1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171</v>
      </c>
      <c r="G2" t="s">
        <v>10</v>
      </c>
      <c r="H2">
        <v>0.3</v>
      </c>
      <c r="I2">
        <v>1</v>
      </c>
      <c r="J2">
        <f>ROUND(IF(LEFT(B2,1)="2", 500, 100)*(1/K2)*IF(H2&gt;0.5,0.5,H2),0)</f>
        <v>38</v>
      </c>
      <c r="K2">
        <v>0.8</v>
      </c>
      <c r="L2">
        <v>0</v>
      </c>
      <c r="M2">
        <f>ROUND(H2*20, 0)</f>
        <v>6</v>
      </c>
    </row>
    <row r="3" spans="2:14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171</v>
      </c>
      <c r="G3" t="s">
        <v>11</v>
      </c>
      <c r="H3">
        <v>0.5</v>
      </c>
      <c r="I3">
        <v>1</v>
      </c>
      <c r="J3">
        <f t="shared" ref="J3:J58" si="2">ROUND(IF(LEFT(B3,1)="2", 500, 100)*(1/K3)*IF(H3&gt;0.5,0.5,H3),0)</f>
        <v>100</v>
      </c>
      <c r="K3">
        <v>0.5</v>
      </c>
      <c r="L3">
        <v>0</v>
      </c>
      <c r="M3">
        <f t="shared" ref="M3:M98" si="3">ROUND(H3*20, 0)</f>
        <v>10</v>
      </c>
    </row>
    <row r="4" spans="2:1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174</v>
      </c>
      <c r="G4" t="s">
        <v>12</v>
      </c>
      <c r="H4">
        <v>0.5</v>
      </c>
      <c r="I4">
        <v>1</v>
      </c>
      <c r="J4">
        <f t="shared" si="2"/>
        <v>83</v>
      </c>
      <c r="K4">
        <v>0.6</v>
      </c>
      <c r="L4">
        <v>0</v>
      </c>
      <c r="M4">
        <f t="shared" si="3"/>
        <v>10</v>
      </c>
      <c r="N4" t="s">
        <v>17</v>
      </c>
    </row>
    <row r="5" spans="2:14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176</v>
      </c>
      <c r="G5" t="s">
        <v>12</v>
      </c>
      <c r="H5">
        <v>0.6</v>
      </c>
      <c r="I5">
        <v>2</v>
      </c>
      <c r="J5">
        <f t="shared" si="2"/>
        <v>100</v>
      </c>
      <c r="K5">
        <v>0.5</v>
      </c>
      <c r="L5">
        <v>20</v>
      </c>
      <c r="M5">
        <f t="shared" si="3"/>
        <v>12</v>
      </c>
    </row>
    <row r="6" spans="2:14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172</v>
      </c>
      <c r="G6" t="s">
        <v>12</v>
      </c>
      <c r="H6">
        <v>0.4</v>
      </c>
      <c r="I6">
        <v>1</v>
      </c>
      <c r="J6">
        <f t="shared" si="2"/>
        <v>100</v>
      </c>
      <c r="K6">
        <v>0.4</v>
      </c>
      <c r="L6">
        <v>0</v>
      </c>
      <c r="M6">
        <f t="shared" si="3"/>
        <v>8</v>
      </c>
      <c r="N6" t="s">
        <v>21</v>
      </c>
    </row>
    <row r="7" spans="2:14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172</v>
      </c>
      <c r="G7" t="s">
        <v>11</v>
      </c>
      <c r="H7">
        <v>0.4</v>
      </c>
      <c r="I7">
        <v>1</v>
      </c>
      <c r="J7">
        <f t="shared" si="2"/>
        <v>100</v>
      </c>
      <c r="K7">
        <v>0.4</v>
      </c>
      <c r="L7">
        <v>0</v>
      </c>
      <c r="M7">
        <f t="shared" si="3"/>
        <v>8</v>
      </c>
      <c r="N7" t="s">
        <v>20</v>
      </c>
    </row>
    <row r="8" spans="2:14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172</v>
      </c>
      <c r="G8" t="s">
        <v>11</v>
      </c>
      <c r="H8">
        <v>0.4</v>
      </c>
      <c r="I8">
        <v>1</v>
      </c>
      <c r="J8">
        <f t="shared" si="2"/>
        <v>80</v>
      </c>
      <c r="K8">
        <v>0.5</v>
      </c>
      <c r="L8">
        <v>0</v>
      </c>
      <c r="M8">
        <f t="shared" si="3"/>
        <v>8</v>
      </c>
      <c r="N8" t="s">
        <v>16</v>
      </c>
    </row>
    <row r="9" spans="2:14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173</v>
      </c>
      <c r="G9" t="s">
        <v>10</v>
      </c>
      <c r="H9">
        <v>0.5</v>
      </c>
      <c r="I9">
        <v>1</v>
      </c>
      <c r="J9">
        <f t="shared" si="2"/>
        <v>50</v>
      </c>
      <c r="K9">
        <v>1</v>
      </c>
      <c r="L9">
        <v>20</v>
      </c>
      <c r="M9">
        <f t="shared" si="3"/>
        <v>10</v>
      </c>
    </row>
    <row r="10" spans="2:14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173</v>
      </c>
      <c r="G10" t="s">
        <v>11</v>
      </c>
      <c r="H10">
        <v>0.35</v>
      </c>
      <c r="I10">
        <v>1</v>
      </c>
      <c r="J10">
        <f t="shared" si="2"/>
        <v>29</v>
      </c>
      <c r="K10">
        <v>1.2</v>
      </c>
      <c r="L10">
        <v>0</v>
      </c>
      <c r="M10">
        <f t="shared" si="3"/>
        <v>7</v>
      </c>
    </row>
    <row r="11" spans="2:14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171</v>
      </c>
      <c r="G11" t="s">
        <v>11</v>
      </c>
      <c r="H11">
        <v>0.4</v>
      </c>
      <c r="I11">
        <v>1</v>
      </c>
      <c r="J11">
        <f t="shared" si="2"/>
        <v>100</v>
      </c>
      <c r="K11">
        <v>0.4</v>
      </c>
      <c r="L11">
        <v>10</v>
      </c>
      <c r="M11">
        <f t="shared" si="3"/>
        <v>8</v>
      </c>
    </row>
    <row r="12" spans="2:14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172</v>
      </c>
      <c r="G12" t="s">
        <v>12</v>
      </c>
      <c r="H12">
        <v>0.6</v>
      </c>
      <c r="I12">
        <v>1</v>
      </c>
      <c r="J12">
        <f t="shared" si="2"/>
        <v>143</v>
      </c>
      <c r="K12">
        <v>0.35</v>
      </c>
      <c r="L12">
        <v>0</v>
      </c>
      <c r="M12">
        <f t="shared" si="3"/>
        <v>12</v>
      </c>
      <c r="N12" t="s">
        <v>30</v>
      </c>
    </row>
    <row r="13" spans="2:14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174</v>
      </c>
      <c r="G13" t="s">
        <v>12</v>
      </c>
      <c r="H13">
        <v>0.9</v>
      </c>
      <c r="I13">
        <v>1</v>
      </c>
      <c r="J13">
        <f t="shared" si="2"/>
        <v>625</v>
      </c>
      <c r="K13">
        <v>0.4</v>
      </c>
      <c r="L13">
        <v>0</v>
      </c>
      <c r="M13">
        <f t="shared" si="3"/>
        <v>18</v>
      </c>
      <c r="N13" t="s">
        <v>25</v>
      </c>
    </row>
    <row r="14" spans="2:14">
      <c r="B14">
        <v>20002</v>
      </c>
      <c r="C14" t="str">
        <f>"enemy_name_"&amp;B14</f>
        <v>enemy_name_20002</v>
      </c>
      <c r="D14" t="str">
        <f t="shared" ref="D14:D36" si="4">"enemy_desc_"&amp;B14</f>
        <v>enemy_desc_20002</v>
      </c>
      <c r="E14" t="s">
        <v>21</v>
      </c>
      <c r="F14" t="s">
        <v>175</v>
      </c>
      <c r="G14" t="s">
        <v>11</v>
      </c>
      <c r="H14">
        <v>0.95</v>
      </c>
      <c r="I14">
        <v>1</v>
      </c>
      <c r="J14">
        <f t="shared" si="2"/>
        <v>625</v>
      </c>
      <c r="K14">
        <v>0.4</v>
      </c>
      <c r="L14">
        <v>0</v>
      </c>
      <c r="M14">
        <f t="shared" si="3"/>
        <v>19</v>
      </c>
      <c r="N14" t="s">
        <v>26</v>
      </c>
    </row>
    <row r="15" spans="2:14">
      <c r="B15">
        <v>20003</v>
      </c>
      <c r="C15" t="str">
        <f t="shared" ref="C15:C36" si="5">"enemy_name_"&amp;B15</f>
        <v>enemy_name_20003</v>
      </c>
      <c r="D15" t="str">
        <f t="shared" si="4"/>
        <v>enemy_desc_20003</v>
      </c>
      <c r="E15" t="s">
        <v>22</v>
      </c>
      <c r="F15" t="s">
        <v>173</v>
      </c>
      <c r="G15" t="s">
        <v>10</v>
      </c>
      <c r="H15">
        <v>0.9</v>
      </c>
      <c r="I15">
        <v>1</v>
      </c>
      <c r="J15">
        <f t="shared" si="2"/>
        <v>625</v>
      </c>
      <c r="K15">
        <v>0.4</v>
      </c>
      <c r="L15">
        <v>0</v>
      </c>
      <c r="M15">
        <f t="shared" si="3"/>
        <v>18</v>
      </c>
      <c r="N15" t="s">
        <v>27</v>
      </c>
    </row>
    <row r="16" spans="2:14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173</v>
      </c>
      <c r="G16" t="s">
        <v>11</v>
      </c>
      <c r="H16">
        <v>0.95</v>
      </c>
      <c r="I16">
        <v>1</v>
      </c>
      <c r="J16">
        <f t="shared" si="2"/>
        <v>313</v>
      </c>
      <c r="K16">
        <v>0.8</v>
      </c>
      <c r="L16">
        <v>0</v>
      </c>
      <c r="M16">
        <f t="shared" si="3"/>
        <v>19</v>
      </c>
      <c r="N16" t="s">
        <v>28</v>
      </c>
    </row>
    <row r="17" spans="2:14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175</v>
      </c>
      <c r="G17" t="s">
        <v>10</v>
      </c>
      <c r="H17">
        <v>1.1499999999999999</v>
      </c>
      <c r="I17">
        <v>1</v>
      </c>
      <c r="J17">
        <f t="shared" si="2"/>
        <v>714</v>
      </c>
      <c r="K17">
        <v>0.35</v>
      </c>
      <c r="L17">
        <v>10</v>
      </c>
      <c r="M17">
        <f t="shared" si="3"/>
        <v>23</v>
      </c>
      <c r="N17" t="s">
        <v>29</v>
      </c>
    </row>
    <row r="18" spans="2:14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tr">
        <f>IF(N18="", "Circle", "")</f>
        <v>Circle</v>
      </c>
      <c r="G18" t="s">
        <v>11</v>
      </c>
      <c r="H18">
        <v>0.4</v>
      </c>
      <c r="I18">
        <v>1</v>
      </c>
      <c r="J18">
        <f t="shared" si="2"/>
        <v>67</v>
      </c>
      <c r="K18">
        <v>0.6</v>
      </c>
      <c r="L18">
        <v>0</v>
      </c>
      <c r="M18">
        <f t="shared" si="3"/>
        <v>8</v>
      </c>
    </row>
    <row r="19" spans="2:14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174</v>
      </c>
      <c r="G19" t="s">
        <v>10</v>
      </c>
      <c r="H19">
        <v>0.6</v>
      </c>
      <c r="I19">
        <v>1</v>
      </c>
      <c r="J19">
        <f t="shared" si="2"/>
        <v>100</v>
      </c>
      <c r="K19">
        <v>0.5</v>
      </c>
      <c r="L19">
        <v>0</v>
      </c>
      <c r="M19">
        <f t="shared" si="3"/>
        <v>12</v>
      </c>
      <c r="N19" t="s">
        <v>32</v>
      </c>
    </row>
    <row r="20" spans="2:14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tr">
        <f t="shared" ref="F20:F71" si="6">IF(N20="", "Circle", "")</f>
        <v>Circle</v>
      </c>
      <c r="G20" t="s">
        <v>11</v>
      </c>
      <c r="H20">
        <v>0.6</v>
      </c>
      <c r="I20">
        <v>1</v>
      </c>
      <c r="J20">
        <f t="shared" si="2"/>
        <v>91</v>
      </c>
      <c r="K20">
        <v>0.55000000000000004</v>
      </c>
      <c r="L20">
        <v>10</v>
      </c>
      <c r="M20">
        <f t="shared" si="3"/>
        <v>12</v>
      </c>
    </row>
    <row r="21" spans="2:14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172</v>
      </c>
      <c r="G21" t="s">
        <v>12</v>
      </c>
      <c r="H21">
        <v>0.55000000000000004</v>
      </c>
      <c r="I21">
        <v>1</v>
      </c>
      <c r="J21">
        <f t="shared" si="2"/>
        <v>100</v>
      </c>
      <c r="K21">
        <v>0.5</v>
      </c>
      <c r="L21">
        <v>0</v>
      </c>
      <c r="M21">
        <f t="shared" si="3"/>
        <v>11</v>
      </c>
      <c r="N21" t="s">
        <v>34</v>
      </c>
    </row>
    <row r="22" spans="2:14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171</v>
      </c>
      <c r="G22" t="s">
        <v>10</v>
      </c>
      <c r="H22">
        <v>0.9</v>
      </c>
      <c r="I22">
        <v>1</v>
      </c>
      <c r="J22">
        <f t="shared" si="2"/>
        <v>625</v>
      </c>
      <c r="K22">
        <v>0.4</v>
      </c>
      <c r="L22">
        <v>0</v>
      </c>
      <c r="M22">
        <f t="shared" si="3"/>
        <v>18</v>
      </c>
      <c r="N22" t="s">
        <v>130</v>
      </c>
    </row>
    <row r="23" spans="2:14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172</v>
      </c>
      <c r="G23" t="s">
        <v>11</v>
      </c>
      <c r="H23">
        <v>0.95</v>
      </c>
      <c r="I23">
        <v>1</v>
      </c>
      <c r="J23">
        <f t="shared" si="2"/>
        <v>500</v>
      </c>
      <c r="K23">
        <v>0.5</v>
      </c>
      <c r="L23">
        <v>0</v>
      </c>
      <c r="M23">
        <f t="shared" si="3"/>
        <v>19</v>
      </c>
      <c r="N23" t="s">
        <v>131</v>
      </c>
    </row>
    <row r="24" spans="2:14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176</v>
      </c>
      <c r="G24" t="s">
        <v>12</v>
      </c>
      <c r="H24">
        <v>0.9</v>
      </c>
      <c r="I24">
        <v>1</v>
      </c>
      <c r="J24">
        <f t="shared" si="2"/>
        <v>556</v>
      </c>
      <c r="K24">
        <v>0.45</v>
      </c>
      <c r="L24">
        <v>0</v>
      </c>
      <c r="M24">
        <f t="shared" si="3"/>
        <v>18</v>
      </c>
      <c r="N24" t="s">
        <v>132</v>
      </c>
    </row>
    <row r="25" spans="2:14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175</v>
      </c>
      <c r="G25" t="s">
        <v>12</v>
      </c>
      <c r="H25">
        <v>1.1000000000000001</v>
      </c>
      <c r="I25">
        <v>1</v>
      </c>
      <c r="J25">
        <f t="shared" si="2"/>
        <v>500</v>
      </c>
      <c r="K25">
        <v>0.5</v>
      </c>
      <c r="L25">
        <v>0</v>
      </c>
      <c r="M25">
        <f t="shared" si="3"/>
        <v>22</v>
      </c>
      <c r="N25" t="s">
        <v>133</v>
      </c>
    </row>
    <row r="26" spans="2:14">
      <c r="B26">
        <v>10016</v>
      </c>
      <c r="C26" t="str">
        <f t="shared" si="5"/>
        <v>enemy_name_10016</v>
      </c>
      <c r="D26" t="str">
        <f t="shared" si="4"/>
        <v>enemy_desc_10016</v>
      </c>
      <c r="E26" t="s">
        <v>63</v>
      </c>
      <c r="F26" t="s">
        <v>171</v>
      </c>
      <c r="G26" t="s">
        <v>10</v>
      </c>
      <c r="H26">
        <v>0.3</v>
      </c>
      <c r="I26">
        <v>1</v>
      </c>
      <c r="J26">
        <f t="shared" si="2"/>
        <v>60</v>
      </c>
      <c r="K26">
        <v>0.5</v>
      </c>
      <c r="L26">
        <v>0</v>
      </c>
      <c r="M26">
        <f t="shared" si="3"/>
        <v>6</v>
      </c>
      <c r="N26" t="s">
        <v>63</v>
      </c>
    </row>
    <row r="27" spans="2:14">
      <c r="B27">
        <v>10017</v>
      </c>
      <c r="C27" t="str">
        <f t="shared" si="5"/>
        <v>enemy_name_10017</v>
      </c>
      <c r="D27" t="str">
        <f t="shared" si="4"/>
        <v>enemy_desc_10017</v>
      </c>
      <c r="E27" t="s">
        <v>64</v>
      </c>
      <c r="F27" t="s">
        <v>176</v>
      </c>
      <c r="G27" t="s">
        <v>12</v>
      </c>
      <c r="H27">
        <v>0.6</v>
      </c>
      <c r="I27">
        <v>1</v>
      </c>
      <c r="J27">
        <f t="shared" si="2"/>
        <v>63</v>
      </c>
      <c r="K27">
        <v>0.8</v>
      </c>
      <c r="L27">
        <v>10</v>
      </c>
      <c r="M27">
        <f t="shared" si="3"/>
        <v>12</v>
      </c>
    </row>
    <row r="28" spans="2:14">
      <c r="B28">
        <v>10018</v>
      </c>
      <c r="C28" t="str">
        <f t="shared" si="5"/>
        <v>enemy_name_10018</v>
      </c>
      <c r="D28" t="str">
        <f t="shared" si="4"/>
        <v>enemy_desc_10018</v>
      </c>
      <c r="E28" t="s">
        <v>65</v>
      </c>
      <c r="F28" t="s">
        <v>174</v>
      </c>
      <c r="G28" t="s">
        <v>10</v>
      </c>
      <c r="H28">
        <v>0.5</v>
      </c>
      <c r="I28">
        <v>1</v>
      </c>
      <c r="J28">
        <f t="shared" si="2"/>
        <v>71</v>
      </c>
      <c r="K28">
        <v>0.7</v>
      </c>
      <c r="L28">
        <v>0</v>
      </c>
      <c r="M28">
        <f t="shared" si="3"/>
        <v>10</v>
      </c>
      <c r="N28" t="s">
        <v>65</v>
      </c>
    </row>
    <row r="29" spans="2:14">
      <c r="B29">
        <v>10019</v>
      </c>
      <c r="C29" t="str">
        <f t="shared" si="5"/>
        <v>enemy_name_10019</v>
      </c>
      <c r="D29" t="str">
        <f t="shared" si="4"/>
        <v>enemy_desc_10019</v>
      </c>
      <c r="E29" t="s">
        <v>66</v>
      </c>
      <c r="F29" t="s">
        <v>172</v>
      </c>
      <c r="G29" t="s">
        <v>11</v>
      </c>
      <c r="H29">
        <v>0.75</v>
      </c>
      <c r="I29">
        <v>1</v>
      </c>
      <c r="J29">
        <f t="shared" si="2"/>
        <v>63</v>
      </c>
      <c r="K29">
        <v>0.8</v>
      </c>
      <c r="L29">
        <v>0</v>
      </c>
      <c r="M29">
        <f t="shared" si="3"/>
        <v>15</v>
      </c>
      <c r="N29" t="s">
        <v>66</v>
      </c>
    </row>
    <row r="30" spans="2:14">
      <c r="B30">
        <v>10020</v>
      </c>
      <c r="C30" t="str">
        <f t="shared" si="5"/>
        <v>enemy_name_10020</v>
      </c>
      <c r="D30" t="str">
        <f t="shared" si="4"/>
        <v>enemy_desc_10020</v>
      </c>
      <c r="E30" t="s">
        <v>68</v>
      </c>
      <c r="F30" t="s">
        <v>173</v>
      </c>
      <c r="G30" t="s">
        <v>12</v>
      </c>
      <c r="H30">
        <v>0.85</v>
      </c>
      <c r="I30">
        <v>1</v>
      </c>
      <c r="J30">
        <f t="shared" si="2"/>
        <v>83</v>
      </c>
      <c r="K30">
        <v>0.6</v>
      </c>
      <c r="L30">
        <v>0</v>
      </c>
      <c r="M30">
        <f t="shared" si="3"/>
        <v>17</v>
      </c>
      <c r="N30" t="s">
        <v>68</v>
      </c>
    </row>
    <row r="31" spans="2:14">
      <c r="B31">
        <v>10021</v>
      </c>
      <c r="C31" t="str">
        <f t="shared" si="5"/>
        <v>enemy_name_10021</v>
      </c>
      <c r="D31" t="str">
        <f t="shared" si="4"/>
        <v>enemy_desc_10021</v>
      </c>
      <c r="E31" t="s">
        <v>67</v>
      </c>
      <c r="F31" t="str">
        <f t="shared" si="6"/>
        <v>Circle</v>
      </c>
      <c r="G31" t="s">
        <v>12</v>
      </c>
      <c r="H31">
        <v>0.9</v>
      </c>
      <c r="I31">
        <v>1</v>
      </c>
      <c r="J31">
        <f t="shared" si="2"/>
        <v>67</v>
      </c>
      <c r="K31">
        <v>0.75</v>
      </c>
      <c r="L31">
        <v>10</v>
      </c>
      <c r="M31">
        <f t="shared" si="3"/>
        <v>18</v>
      </c>
    </row>
    <row r="32" spans="2:14">
      <c r="B32">
        <v>20010</v>
      </c>
      <c r="C32" t="str">
        <f t="shared" si="5"/>
        <v>enemy_name_20010</v>
      </c>
      <c r="D32" t="str">
        <f t="shared" si="4"/>
        <v>enemy_desc_20010</v>
      </c>
      <c r="E32" t="s">
        <v>63</v>
      </c>
      <c r="F32" t="s">
        <v>171</v>
      </c>
      <c r="G32" t="s">
        <v>10</v>
      </c>
      <c r="H32">
        <v>0.95</v>
      </c>
      <c r="I32">
        <v>1</v>
      </c>
      <c r="J32">
        <f t="shared" si="2"/>
        <v>500</v>
      </c>
      <c r="K32">
        <v>0.5</v>
      </c>
      <c r="L32">
        <v>0</v>
      </c>
      <c r="M32">
        <f t="shared" si="3"/>
        <v>19</v>
      </c>
      <c r="N32" t="s">
        <v>134</v>
      </c>
    </row>
    <row r="33" spans="2:14">
      <c r="B33">
        <v>20011</v>
      </c>
      <c r="C33" t="str">
        <f t="shared" si="5"/>
        <v>enemy_name_20011</v>
      </c>
      <c r="D33" t="str">
        <f t="shared" si="4"/>
        <v>enemy_desc_20011</v>
      </c>
      <c r="E33" t="s">
        <v>64</v>
      </c>
      <c r="F33" t="s">
        <v>176</v>
      </c>
      <c r="G33" t="s">
        <v>12</v>
      </c>
      <c r="H33">
        <v>0.9</v>
      </c>
      <c r="I33">
        <v>1</v>
      </c>
      <c r="J33">
        <f t="shared" si="2"/>
        <v>385</v>
      </c>
      <c r="K33">
        <v>0.65</v>
      </c>
      <c r="L33">
        <v>0</v>
      </c>
      <c r="M33">
        <f t="shared" si="3"/>
        <v>18</v>
      </c>
      <c r="N33" t="s">
        <v>135</v>
      </c>
    </row>
    <row r="34" spans="2:14">
      <c r="B34">
        <v>20012</v>
      </c>
      <c r="C34" t="str">
        <f t="shared" si="5"/>
        <v>enemy_name_20012</v>
      </c>
      <c r="D34" t="str">
        <f t="shared" si="4"/>
        <v>enemy_desc_20012</v>
      </c>
      <c r="E34" t="s">
        <v>65</v>
      </c>
      <c r="F34" t="s">
        <v>174</v>
      </c>
      <c r="G34" t="s">
        <v>10</v>
      </c>
      <c r="H34">
        <v>0.9</v>
      </c>
      <c r="I34">
        <v>1</v>
      </c>
      <c r="J34">
        <f t="shared" si="2"/>
        <v>455</v>
      </c>
      <c r="K34">
        <v>0.55000000000000004</v>
      </c>
      <c r="L34">
        <v>0</v>
      </c>
      <c r="M34">
        <f t="shared" si="3"/>
        <v>18</v>
      </c>
      <c r="N34" t="s">
        <v>136</v>
      </c>
    </row>
    <row r="35" spans="2:14">
      <c r="B35">
        <v>20013</v>
      </c>
      <c r="C35" t="str">
        <f t="shared" si="5"/>
        <v>enemy_name_20013</v>
      </c>
      <c r="D35" t="str">
        <f t="shared" si="4"/>
        <v>enemy_desc_20013</v>
      </c>
      <c r="E35" t="s">
        <v>66</v>
      </c>
      <c r="F35" t="s">
        <v>172</v>
      </c>
      <c r="G35" t="s">
        <v>11</v>
      </c>
      <c r="H35">
        <v>0.95</v>
      </c>
      <c r="I35">
        <v>1</v>
      </c>
      <c r="J35">
        <f t="shared" si="2"/>
        <v>385</v>
      </c>
      <c r="K35">
        <v>0.65</v>
      </c>
      <c r="L35">
        <v>0</v>
      </c>
      <c r="M35">
        <f t="shared" si="3"/>
        <v>19</v>
      </c>
      <c r="N35" t="s">
        <v>137</v>
      </c>
    </row>
    <row r="36" spans="2:14">
      <c r="B36">
        <v>20014</v>
      </c>
      <c r="C36" t="str">
        <f t="shared" si="5"/>
        <v>enemy_name_20014</v>
      </c>
      <c r="D36" t="str">
        <f t="shared" si="4"/>
        <v>enemy_desc_20014</v>
      </c>
      <c r="E36" t="s">
        <v>68</v>
      </c>
      <c r="F36" t="s">
        <v>174</v>
      </c>
      <c r="G36" t="s">
        <v>12</v>
      </c>
      <c r="H36">
        <v>0.95</v>
      </c>
      <c r="I36">
        <v>1</v>
      </c>
      <c r="J36">
        <f t="shared" si="2"/>
        <v>455</v>
      </c>
      <c r="K36">
        <v>0.55000000000000004</v>
      </c>
      <c r="L36">
        <v>0</v>
      </c>
      <c r="M36">
        <f t="shared" si="3"/>
        <v>19</v>
      </c>
      <c r="N36" t="s">
        <v>138</v>
      </c>
    </row>
    <row r="37" spans="2:14">
      <c r="B37">
        <v>20015</v>
      </c>
      <c r="C37" t="str">
        <f t="shared" ref="C37:C46" si="7">"enemy_name_"&amp;B37</f>
        <v>enemy_name_20015</v>
      </c>
      <c r="D37" t="str">
        <f t="shared" ref="D37:D46" si="8">"enemy_desc_"&amp;B37</f>
        <v>enemy_desc_20015</v>
      </c>
      <c r="E37" t="s">
        <v>67</v>
      </c>
      <c r="F37" t="s">
        <v>175</v>
      </c>
      <c r="G37" t="s">
        <v>12</v>
      </c>
      <c r="H37">
        <v>1</v>
      </c>
      <c r="I37">
        <v>1</v>
      </c>
      <c r="J37">
        <f t="shared" si="2"/>
        <v>357</v>
      </c>
      <c r="K37">
        <v>0.7</v>
      </c>
      <c r="L37">
        <v>0</v>
      </c>
      <c r="M37">
        <f t="shared" si="3"/>
        <v>20</v>
      </c>
      <c r="N37" t="s">
        <v>139</v>
      </c>
    </row>
    <row r="38" spans="2:14">
      <c r="B38">
        <v>20016</v>
      </c>
      <c r="C38" t="str">
        <f t="shared" si="7"/>
        <v>enemy_name_20016</v>
      </c>
      <c r="D38" t="str">
        <f t="shared" si="8"/>
        <v>enemy_desc_20016</v>
      </c>
      <c r="E38" t="s">
        <v>69</v>
      </c>
      <c r="F38" t="s">
        <v>175</v>
      </c>
      <c r="G38" t="s">
        <v>10</v>
      </c>
      <c r="H38">
        <v>1.1499999999999999</v>
      </c>
      <c r="I38">
        <v>1</v>
      </c>
      <c r="J38">
        <f t="shared" si="2"/>
        <v>500</v>
      </c>
      <c r="K38">
        <v>0.5</v>
      </c>
      <c r="L38">
        <v>20</v>
      </c>
      <c r="M38">
        <f t="shared" si="3"/>
        <v>23</v>
      </c>
      <c r="N38" t="s">
        <v>69</v>
      </c>
    </row>
    <row r="39" spans="2:14">
      <c r="B39">
        <v>10022</v>
      </c>
      <c r="C39" t="str">
        <f t="shared" si="7"/>
        <v>enemy_name_10022</v>
      </c>
      <c r="D39" t="str">
        <f t="shared" si="8"/>
        <v>enemy_desc_10022</v>
      </c>
      <c r="E39" t="s">
        <v>71</v>
      </c>
      <c r="F39" t="str">
        <f t="shared" si="6"/>
        <v>Circle</v>
      </c>
      <c r="G39" t="s">
        <v>12</v>
      </c>
      <c r="H39">
        <v>0.3</v>
      </c>
      <c r="I39">
        <v>1</v>
      </c>
      <c r="J39">
        <f t="shared" si="2"/>
        <v>38</v>
      </c>
      <c r="K39">
        <v>0.8</v>
      </c>
      <c r="L39">
        <v>0</v>
      </c>
      <c r="M39">
        <f t="shared" si="3"/>
        <v>6</v>
      </c>
    </row>
    <row r="40" spans="2:14">
      <c r="B40">
        <v>10023</v>
      </c>
      <c r="C40" t="str">
        <f t="shared" si="7"/>
        <v>enemy_name_10023</v>
      </c>
      <c r="D40" t="str">
        <f t="shared" si="8"/>
        <v>enemy_desc_10023</v>
      </c>
      <c r="E40" t="s">
        <v>73</v>
      </c>
      <c r="F40" t="s">
        <v>172</v>
      </c>
      <c r="G40" t="s">
        <v>11</v>
      </c>
      <c r="H40">
        <v>0.6</v>
      </c>
      <c r="I40">
        <v>1</v>
      </c>
      <c r="J40">
        <f t="shared" si="2"/>
        <v>100</v>
      </c>
      <c r="K40">
        <v>0.5</v>
      </c>
      <c r="L40">
        <v>0</v>
      </c>
      <c r="M40">
        <f t="shared" si="3"/>
        <v>12</v>
      </c>
      <c r="N40" t="s">
        <v>73</v>
      </c>
    </row>
    <row r="41" spans="2:14">
      <c r="B41">
        <v>10024</v>
      </c>
      <c r="C41" t="str">
        <f t="shared" si="7"/>
        <v>enemy_name_10024</v>
      </c>
      <c r="D41" t="str">
        <f t="shared" si="8"/>
        <v>enemy_desc_10024</v>
      </c>
      <c r="E41" t="s">
        <v>75</v>
      </c>
      <c r="F41" t="s">
        <v>174</v>
      </c>
      <c r="G41" t="s">
        <v>10</v>
      </c>
      <c r="H41">
        <v>0.65</v>
      </c>
      <c r="I41">
        <v>1</v>
      </c>
      <c r="J41">
        <f t="shared" si="2"/>
        <v>100</v>
      </c>
      <c r="K41">
        <v>0.5</v>
      </c>
      <c r="L41">
        <v>10</v>
      </c>
      <c r="M41">
        <f t="shared" si="3"/>
        <v>13</v>
      </c>
    </row>
    <row r="42" spans="2:14">
      <c r="B42">
        <v>10025</v>
      </c>
      <c r="C42" t="str">
        <f t="shared" si="7"/>
        <v>enemy_name_10025</v>
      </c>
      <c r="D42" t="str">
        <f t="shared" si="8"/>
        <v>enemy_desc_10025</v>
      </c>
      <c r="E42" t="s">
        <v>76</v>
      </c>
      <c r="F42" t="str">
        <f t="shared" si="6"/>
        <v>Circle</v>
      </c>
      <c r="G42" t="s">
        <v>12</v>
      </c>
      <c r="H42">
        <v>0.35</v>
      </c>
      <c r="I42">
        <v>1</v>
      </c>
      <c r="J42">
        <f t="shared" si="2"/>
        <v>41</v>
      </c>
      <c r="K42">
        <v>0.85</v>
      </c>
      <c r="L42">
        <v>0</v>
      </c>
      <c r="M42">
        <f t="shared" si="3"/>
        <v>7</v>
      </c>
    </row>
    <row r="43" spans="2:14">
      <c r="B43">
        <v>10026</v>
      </c>
      <c r="C43" t="str">
        <f t="shared" si="7"/>
        <v>enemy_name_10026</v>
      </c>
      <c r="D43" t="str">
        <f t="shared" si="8"/>
        <v>enemy_desc_10026</v>
      </c>
      <c r="E43" t="s">
        <v>77</v>
      </c>
      <c r="F43" t="s">
        <v>176</v>
      </c>
      <c r="G43" t="s">
        <v>12</v>
      </c>
      <c r="H43">
        <v>0.7</v>
      </c>
      <c r="I43">
        <v>1</v>
      </c>
      <c r="J43">
        <f t="shared" si="2"/>
        <v>83</v>
      </c>
      <c r="K43">
        <v>0.6</v>
      </c>
      <c r="L43">
        <v>0</v>
      </c>
      <c r="M43">
        <f t="shared" si="3"/>
        <v>14</v>
      </c>
      <c r="N43" t="s">
        <v>140</v>
      </c>
    </row>
    <row r="44" spans="2:14">
      <c r="B44">
        <v>10027</v>
      </c>
      <c r="C44" t="str">
        <f t="shared" si="7"/>
        <v>enemy_name_10027</v>
      </c>
      <c r="D44" t="str">
        <f t="shared" si="8"/>
        <v>enemy_desc_10027</v>
      </c>
      <c r="E44" t="s">
        <v>78</v>
      </c>
      <c r="F44" t="str">
        <f t="shared" si="6"/>
        <v>Circle</v>
      </c>
      <c r="G44" t="s">
        <v>12</v>
      </c>
      <c r="H44">
        <v>0.8</v>
      </c>
      <c r="I44">
        <v>1</v>
      </c>
      <c r="J44">
        <f t="shared" si="2"/>
        <v>83</v>
      </c>
      <c r="K44">
        <v>0.6</v>
      </c>
      <c r="L44">
        <v>50</v>
      </c>
      <c r="M44">
        <f t="shared" si="3"/>
        <v>16</v>
      </c>
    </row>
    <row r="45" spans="2:14">
      <c r="B45">
        <v>10028</v>
      </c>
      <c r="C45" t="str">
        <f t="shared" si="7"/>
        <v>enemy_name_10028</v>
      </c>
      <c r="D45" t="str">
        <f t="shared" si="8"/>
        <v>enemy_desc_10028</v>
      </c>
      <c r="E45" t="s">
        <v>79</v>
      </c>
      <c r="F45" t="s">
        <v>172</v>
      </c>
      <c r="G45" t="s">
        <v>12</v>
      </c>
      <c r="H45">
        <v>0.8</v>
      </c>
      <c r="I45">
        <v>1</v>
      </c>
      <c r="J45">
        <f t="shared" si="2"/>
        <v>100</v>
      </c>
      <c r="K45">
        <v>0.5</v>
      </c>
      <c r="L45">
        <v>0</v>
      </c>
      <c r="M45">
        <f t="shared" si="3"/>
        <v>16</v>
      </c>
      <c r="N45" t="s">
        <v>79</v>
      </c>
    </row>
    <row r="46" spans="2:14">
      <c r="B46">
        <v>10029</v>
      </c>
      <c r="C46" t="str">
        <f t="shared" si="7"/>
        <v>enemy_name_10029</v>
      </c>
      <c r="D46" t="str">
        <f t="shared" si="8"/>
        <v>enemy_desc_10029</v>
      </c>
      <c r="E46" t="s">
        <v>80</v>
      </c>
      <c r="F46" t="s">
        <v>175</v>
      </c>
      <c r="G46" t="s">
        <v>10</v>
      </c>
      <c r="H46">
        <v>0.6</v>
      </c>
      <c r="I46">
        <v>1</v>
      </c>
      <c r="J46">
        <f t="shared" si="2"/>
        <v>111</v>
      </c>
      <c r="K46">
        <v>0.45</v>
      </c>
      <c r="L46">
        <v>0</v>
      </c>
      <c r="M46">
        <f t="shared" si="3"/>
        <v>12</v>
      </c>
      <c r="N46" t="s">
        <v>80</v>
      </c>
    </row>
    <row r="47" spans="2:14">
      <c r="B47">
        <v>10030</v>
      </c>
      <c r="C47" t="str">
        <f t="shared" ref="C47:C58" si="9">"enemy_name_"&amp;B47</f>
        <v>enemy_name_10030</v>
      </c>
      <c r="D47" t="str">
        <f t="shared" ref="D47:D58" si="10">"enemy_desc_"&amp;B47</f>
        <v>enemy_desc_10030</v>
      </c>
      <c r="E47" t="s">
        <v>81</v>
      </c>
      <c r="F47" t="str">
        <f t="shared" si="6"/>
        <v>Circle</v>
      </c>
      <c r="G47" t="s">
        <v>12</v>
      </c>
      <c r="H47">
        <v>0.75</v>
      </c>
      <c r="I47">
        <v>1</v>
      </c>
      <c r="J47">
        <f t="shared" si="2"/>
        <v>100</v>
      </c>
      <c r="K47">
        <v>0.5</v>
      </c>
      <c r="L47">
        <v>25</v>
      </c>
      <c r="M47">
        <f t="shared" si="3"/>
        <v>15</v>
      </c>
    </row>
    <row r="48" spans="2:14">
      <c r="B48">
        <v>10031</v>
      </c>
      <c r="C48" t="str">
        <f t="shared" si="9"/>
        <v>enemy_name_10031</v>
      </c>
      <c r="D48" t="str">
        <f t="shared" si="10"/>
        <v>enemy_desc_10031</v>
      </c>
      <c r="E48" t="s">
        <v>85</v>
      </c>
      <c r="F48" t="str">
        <f t="shared" si="6"/>
        <v>Circle</v>
      </c>
      <c r="G48" t="s">
        <v>12</v>
      </c>
      <c r="H48">
        <v>0.7</v>
      </c>
      <c r="I48">
        <v>1</v>
      </c>
      <c r="J48">
        <f t="shared" si="2"/>
        <v>71</v>
      </c>
      <c r="K48">
        <v>0.7</v>
      </c>
      <c r="L48">
        <v>15</v>
      </c>
      <c r="M48">
        <f t="shared" si="3"/>
        <v>14</v>
      </c>
    </row>
    <row r="49" spans="2:14">
      <c r="B49">
        <v>20017</v>
      </c>
      <c r="C49" t="str">
        <f t="shared" si="9"/>
        <v>enemy_name_20017</v>
      </c>
      <c r="D49" t="str">
        <f t="shared" si="10"/>
        <v>enemy_desc_20017</v>
      </c>
      <c r="E49" t="s">
        <v>70</v>
      </c>
      <c r="F49" t="s">
        <v>171</v>
      </c>
      <c r="G49" t="s">
        <v>12</v>
      </c>
      <c r="H49">
        <v>0.9</v>
      </c>
      <c r="I49">
        <v>1</v>
      </c>
      <c r="J49">
        <f t="shared" si="2"/>
        <v>417</v>
      </c>
      <c r="K49">
        <v>0.6</v>
      </c>
      <c r="L49">
        <v>0</v>
      </c>
      <c r="M49">
        <f t="shared" si="3"/>
        <v>18</v>
      </c>
      <c r="N49" t="s">
        <v>141</v>
      </c>
    </row>
    <row r="50" spans="2:14">
      <c r="B50">
        <v>20018</v>
      </c>
      <c r="C50" t="str">
        <f t="shared" si="9"/>
        <v>enemy_name_20018</v>
      </c>
      <c r="D50" t="str">
        <f t="shared" si="10"/>
        <v>enemy_desc_20018</v>
      </c>
      <c r="E50" t="s">
        <v>76</v>
      </c>
      <c r="F50" t="s">
        <v>171</v>
      </c>
      <c r="G50" t="s">
        <v>12</v>
      </c>
      <c r="H50">
        <v>0.9</v>
      </c>
      <c r="I50">
        <v>1</v>
      </c>
      <c r="J50">
        <f t="shared" si="2"/>
        <v>385</v>
      </c>
      <c r="K50">
        <v>0.65</v>
      </c>
      <c r="L50">
        <v>0</v>
      </c>
      <c r="M50">
        <f t="shared" si="3"/>
        <v>18</v>
      </c>
      <c r="N50" t="s">
        <v>142</v>
      </c>
    </row>
    <row r="51" spans="2:14">
      <c r="B51">
        <v>20019</v>
      </c>
      <c r="C51" t="str">
        <f t="shared" si="9"/>
        <v>enemy_name_20019</v>
      </c>
      <c r="D51" t="str">
        <f t="shared" si="10"/>
        <v>enemy_desc_20019</v>
      </c>
      <c r="E51" t="s">
        <v>72</v>
      </c>
      <c r="F51" t="s">
        <v>172</v>
      </c>
      <c r="G51" t="s">
        <v>11</v>
      </c>
      <c r="H51">
        <v>0.95</v>
      </c>
      <c r="I51">
        <v>1</v>
      </c>
      <c r="J51">
        <f t="shared" si="2"/>
        <v>500</v>
      </c>
      <c r="K51">
        <v>0.5</v>
      </c>
      <c r="L51">
        <v>0</v>
      </c>
      <c r="M51">
        <f t="shared" si="3"/>
        <v>19</v>
      </c>
      <c r="N51" t="s">
        <v>143</v>
      </c>
    </row>
    <row r="52" spans="2:14">
      <c r="B52">
        <v>20020</v>
      </c>
      <c r="C52" t="str">
        <f t="shared" si="9"/>
        <v>enemy_name_20020</v>
      </c>
      <c r="D52" t="str">
        <f t="shared" si="10"/>
        <v>enemy_desc_20020</v>
      </c>
      <c r="E52" t="s">
        <v>78</v>
      </c>
      <c r="F52" t="str">
        <f t="shared" si="6"/>
        <v>Circle</v>
      </c>
      <c r="G52" t="s">
        <v>12</v>
      </c>
      <c r="H52">
        <v>1.1000000000000001</v>
      </c>
      <c r="I52">
        <v>1</v>
      </c>
      <c r="J52">
        <f t="shared" si="2"/>
        <v>500</v>
      </c>
      <c r="K52">
        <v>0.5</v>
      </c>
      <c r="L52">
        <v>80</v>
      </c>
      <c r="M52">
        <f t="shared" si="3"/>
        <v>22</v>
      </c>
    </row>
    <row r="53" spans="2:14">
      <c r="B53">
        <v>20021</v>
      </c>
      <c r="C53" t="str">
        <f t="shared" si="9"/>
        <v>enemy_name_20021</v>
      </c>
      <c r="D53" t="str">
        <f t="shared" si="10"/>
        <v>enemy_desc_20021</v>
      </c>
      <c r="E53" t="s">
        <v>79</v>
      </c>
      <c r="F53" t="s">
        <v>174</v>
      </c>
      <c r="G53" t="s">
        <v>12</v>
      </c>
      <c r="H53">
        <v>1</v>
      </c>
      <c r="I53">
        <v>1</v>
      </c>
      <c r="J53">
        <f t="shared" si="2"/>
        <v>500</v>
      </c>
      <c r="K53">
        <v>0.5</v>
      </c>
      <c r="L53">
        <v>0</v>
      </c>
      <c r="M53">
        <f t="shared" si="3"/>
        <v>20</v>
      </c>
      <c r="N53" t="s">
        <v>144</v>
      </c>
    </row>
    <row r="54" spans="2:14">
      <c r="B54">
        <v>20022</v>
      </c>
      <c r="C54" t="str">
        <f t="shared" si="9"/>
        <v>enemy_name_20022</v>
      </c>
      <c r="D54" t="str">
        <f t="shared" si="10"/>
        <v>enemy_desc_20022</v>
      </c>
      <c r="E54" t="s">
        <v>77</v>
      </c>
      <c r="F54" t="s">
        <v>176</v>
      </c>
      <c r="G54" t="s">
        <v>12</v>
      </c>
      <c r="H54">
        <v>1</v>
      </c>
      <c r="I54">
        <v>1</v>
      </c>
      <c r="J54">
        <f t="shared" si="2"/>
        <v>500</v>
      </c>
      <c r="K54">
        <v>0.5</v>
      </c>
      <c r="L54">
        <v>0</v>
      </c>
      <c r="M54">
        <f t="shared" si="3"/>
        <v>20</v>
      </c>
      <c r="N54" t="s">
        <v>145</v>
      </c>
    </row>
    <row r="55" spans="2:14">
      <c r="B55">
        <v>20023</v>
      </c>
      <c r="C55" t="str">
        <f t="shared" si="9"/>
        <v>enemy_name_20023</v>
      </c>
      <c r="D55" t="str">
        <f t="shared" si="10"/>
        <v>enemy_desc_20023</v>
      </c>
      <c r="E55" t="s">
        <v>74</v>
      </c>
      <c r="F55" t="s">
        <v>171</v>
      </c>
      <c r="G55" t="s">
        <v>10</v>
      </c>
      <c r="H55">
        <v>1</v>
      </c>
      <c r="I55">
        <v>1</v>
      </c>
      <c r="J55">
        <f t="shared" si="2"/>
        <v>500</v>
      </c>
      <c r="K55">
        <v>0.5</v>
      </c>
      <c r="L55">
        <v>0</v>
      </c>
      <c r="M55">
        <f t="shared" si="3"/>
        <v>20</v>
      </c>
      <c r="N55" t="s">
        <v>146</v>
      </c>
    </row>
    <row r="56" spans="2:14">
      <c r="B56">
        <v>20024</v>
      </c>
      <c r="C56" t="str">
        <f t="shared" si="9"/>
        <v>enemy_name_20024</v>
      </c>
      <c r="D56" t="str">
        <f t="shared" si="10"/>
        <v>enemy_desc_20024</v>
      </c>
      <c r="E56" t="s">
        <v>84</v>
      </c>
      <c r="F56" t="s">
        <v>176</v>
      </c>
      <c r="G56" t="s">
        <v>12</v>
      </c>
      <c r="H56">
        <v>1.1499999999999999</v>
      </c>
      <c r="I56">
        <v>1</v>
      </c>
      <c r="J56">
        <f t="shared" si="2"/>
        <v>556</v>
      </c>
      <c r="K56">
        <v>0.45</v>
      </c>
      <c r="L56">
        <v>0</v>
      </c>
      <c r="M56">
        <f t="shared" si="3"/>
        <v>23</v>
      </c>
      <c r="N56" t="s">
        <v>147</v>
      </c>
    </row>
    <row r="57" spans="2:14">
      <c r="B57">
        <v>20025</v>
      </c>
      <c r="C57" t="str">
        <f t="shared" si="9"/>
        <v>enemy_name_20025</v>
      </c>
      <c r="D57" t="str">
        <f t="shared" si="10"/>
        <v>enemy_desc_20025</v>
      </c>
      <c r="E57" t="s">
        <v>83</v>
      </c>
      <c r="F57" t="s">
        <v>175</v>
      </c>
      <c r="G57" t="s">
        <v>12</v>
      </c>
      <c r="H57">
        <v>1</v>
      </c>
      <c r="I57">
        <v>1</v>
      </c>
      <c r="J57">
        <f t="shared" si="2"/>
        <v>500</v>
      </c>
      <c r="K57">
        <v>0.5</v>
      </c>
      <c r="L57">
        <v>0</v>
      </c>
      <c r="M57">
        <f t="shared" si="3"/>
        <v>20</v>
      </c>
      <c r="N57" t="s">
        <v>148</v>
      </c>
    </row>
    <row r="58" spans="2:14">
      <c r="B58">
        <v>20026</v>
      </c>
      <c r="C58" t="str">
        <f t="shared" si="9"/>
        <v>enemy_name_20026</v>
      </c>
      <c r="D58" t="str">
        <f t="shared" si="10"/>
        <v>enemy_desc_20026</v>
      </c>
      <c r="E58" t="s">
        <v>82</v>
      </c>
      <c r="F58" t="s">
        <v>175</v>
      </c>
      <c r="G58" t="s">
        <v>12</v>
      </c>
      <c r="H58">
        <v>1.1000000000000001</v>
      </c>
      <c r="I58">
        <v>1</v>
      </c>
      <c r="J58">
        <f t="shared" si="2"/>
        <v>500</v>
      </c>
      <c r="K58">
        <v>0.5</v>
      </c>
      <c r="L58">
        <v>0</v>
      </c>
      <c r="M58">
        <f t="shared" si="3"/>
        <v>22</v>
      </c>
      <c r="N58" t="s">
        <v>149</v>
      </c>
    </row>
    <row r="59" spans="2:14">
      <c r="B59">
        <v>10401</v>
      </c>
      <c r="C59" t="str">
        <f t="shared" ref="C59" si="11">"enemy_name_"&amp;B59</f>
        <v>enemy_name_10401</v>
      </c>
      <c r="D59" t="str">
        <f t="shared" ref="D59" si="12">"enemy_desc_"&amp;B59</f>
        <v>enemy_desc_10401</v>
      </c>
      <c r="E59" t="s">
        <v>96</v>
      </c>
      <c r="F59" t="str">
        <f t="shared" si="6"/>
        <v>Circle</v>
      </c>
      <c r="G59" t="s">
        <v>11</v>
      </c>
      <c r="H59">
        <v>0.35</v>
      </c>
      <c r="I59">
        <v>1</v>
      </c>
      <c r="J59">
        <f t="shared" ref="J59:J98" si="13">ROUND(IF(LEFT(B59,1)="2", 500, 100)*(1/K59)*IF(H59&gt;0.5,0.5,H59),0)</f>
        <v>44</v>
      </c>
      <c r="K59">
        <v>0.8</v>
      </c>
      <c r="L59">
        <v>0</v>
      </c>
      <c r="M59">
        <f t="shared" si="3"/>
        <v>7</v>
      </c>
    </row>
    <row r="60" spans="2:14">
      <c r="B60">
        <v>10402</v>
      </c>
      <c r="C60" t="str">
        <f t="shared" ref="C60:C72" si="14">"enemy_name_"&amp;B60</f>
        <v>enemy_name_10402</v>
      </c>
      <c r="D60" t="str">
        <f t="shared" ref="D60:D72" si="15">"enemy_desc_"&amp;B60</f>
        <v>enemy_desc_10402</v>
      </c>
      <c r="E60" t="s">
        <v>97</v>
      </c>
      <c r="F60" t="str">
        <f t="shared" si="6"/>
        <v>Circle</v>
      </c>
      <c r="G60" t="s">
        <v>12</v>
      </c>
      <c r="H60">
        <v>0.35</v>
      </c>
      <c r="I60">
        <v>1</v>
      </c>
      <c r="J60">
        <f t="shared" si="13"/>
        <v>50</v>
      </c>
      <c r="K60">
        <v>0.7</v>
      </c>
      <c r="L60">
        <v>0</v>
      </c>
      <c r="M60">
        <f t="shared" si="3"/>
        <v>7</v>
      </c>
    </row>
    <row r="61" spans="2:14">
      <c r="B61">
        <v>10403</v>
      </c>
      <c r="C61" t="str">
        <f t="shared" si="14"/>
        <v>enemy_name_10403</v>
      </c>
      <c r="D61" t="str">
        <f t="shared" si="15"/>
        <v>enemy_desc_10403</v>
      </c>
      <c r="E61" t="s">
        <v>98</v>
      </c>
      <c r="F61" t="s">
        <v>173</v>
      </c>
      <c r="G61" t="s">
        <v>10</v>
      </c>
      <c r="H61">
        <v>0.4</v>
      </c>
      <c r="I61">
        <v>1</v>
      </c>
      <c r="J61">
        <f t="shared" si="13"/>
        <v>50</v>
      </c>
      <c r="K61">
        <v>0.8</v>
      </c>
      <c r="L61">
        <v>0</v>
      </c>
      <c r="M61">
        <f t="shared" si="3"/>
        <v>8</v>
      </c>
      <c r="N61" t="s">
        <v>98</v>
      </c>
    </row>
    <row r="62" spans="2:14">
      <c r="B62">
        <v>10404</v>
      </c>
      <c r="C62" t="str">
        <f t="shared" si="14"/>
        <v>enemy_name_10404</v>
      </c>
      <c r="D62" t="str">
        <f t="shared" si="15"/>
        <v>enemy_desc_10404</v>
      </c>
      <c r="E62" t="s">
        <v>99</v>
      </c>
      <c r="F62" t="str">
        <f t="shared" si="6"/>
        <v>Circle</v>
      </c>
      <c r="G62" t="s">
        <v>10</v>
      </c>
      <c r="H62">
        <v>0.5</v>
      </c>
      <c r="I62">
        <v>1</v>
      </c>
      <c r="J62">
        <f t="shared" si="13"/>
        <v>91</v>
      </c>
      <c r="K62">
        <v>0.55000000000000004</v>
      </c>
      <c r="L62">
        <v>20</v>
      </c>
      <c r="M62">
        <f t="shared" si="3"/>
        <v>10</v>
      </c>
    </row>
    <row r="63" spans="2:14">
      <c r="B63">
        <v>10405</v>
      </c>
      <c r="C63" t="str">
        <f t="shared" si="14"/>
        <v>enemy_name_10405</v>
      </c>
      <c r="D63" t="str">
        <f t="shared" si="15"/>
        <v>enemy_desc_10405</v>
      </c>
      <c r="E63" t="s">
        <v>100</v>
      </c>
      <c r="F63" t="s">
        <v>174</v>
      </c>
      <c r="G63" t="s">
        <v>12</v>
      </c>
      <c r="H63">
        <v>0.45</v>
      </c>
      <c r="I63">
        <v>1</v>
      </c>
      <c r="J63">
        <f t="shared" si="13"/>
        <v>75</v>
      </c>
      <c r="K63">
        <v>0.6</v>
      </c>
      <c r="L63">
        <v>0</v>
      </c>
      <c r="M63">
        <f t="shared" si="3"/>
        <v>9</v>
      </c>
      <c r="N63" t="s">
        <v>100</v>
      </c>
    </row>
    <row r="64" spans="2:14">
      <c r="B64">
        <v>10406</v>
      </c>
      <c r="C64" t="str">
        <f t="shared" si="14"/>
        <v>enemy_name_10406</v>
      </c>
      <c r="D64" t="str">
        <f t="shared" si="15"/>
        <v>enemy_desc_10406</v>
      </c>
      <c r="E64" t="s">
        <v>101</v>
      </c>
      <c r="F64" t="s">
        <v>172</v>
      </c>
      <c r="G64" t="s">
        <v>10</v>
      </c>
      <c r="H64">
        <v>0.65</v>
      </c>
      <c r="I64">
        <v>1</v>
      </c>
      <c r="J64">
        <f t="shared" si="13"/>
        <v>83</v>
      </c>
      <c r="K64">
        <v>0.6</v>
      </c>
      <c r="L64">
        <v>0</v>
      </c>
      <c r="M64">
        <f t="shared" si="3"/>
        <v>13</v>
      </c>
      <c r="N64" t="s">
        <v>101</v>
      </c>
    </row>
    <row r="65" spans="2:14">
      <c r="B65">
        <v>10407</v>
      </c>
      <c r="C65" t="str">
        <f t="shared" si="14"/>
        <v>enemy_name_10407</v>
      </c>
      <c r="D65" t="str">
        <f t="shared" si="15"/>
        <v>enemy_desc_10407</v>
      </c>
      <c r="E65" t="s">
        <v>92</v>
      </c>
      <c r="F65" t="s">
        <v>176</v>
      </c>
      <c r="G65" t="s">
        <v>10</v>
      </c>
      <c r="H65">
        <v>0.65</v>
      </c>
      <c r="I65">
        <v>1</v>
      </c>
      <c r="J65">
        <f t="shared" si="13"/>
        <v>67</v>
      </c>
      <c r="K65">
        <v>0.75</v>
      </c>
      <c r="L65">
        <v>0</v>
      </c>
      <c r="M65">
        <f t="shared" si="3"/>
        <v>13</v>
      </c>
      <c r="N65" t="s">
        <v>92</v>
      </c>
    </row>
    <row r="66" spans="2:14">
      <c r="B66">
        <v>10408</v>
      </c>
      <c r="C66" t="str">
        <f t="shared" si="14"/>
        <v>enemy_name_10408</v>
      </c>
      <c r="D66" t="str">
        <f t="shared" si="15"/>
        <v>enemy_desc_10408</v>
      </c>
      <c r="E66" t="s">
        <v>102</v>
      </c>
      <c r="F66" t="str">
        <f t="shared" si="6"/>
        <v>Circle</v>
      </c>
      <c r="G66" t="s">
        <v>12</v>
      </c>
      <c r="H66">
        <v>0.8</v>
      </c>
      <c r="I66">
        <v>1</v>
      </c>
      <c r="J66">
        <f t="shared" si="13"/>
        <v>83</v>
      </c>
      <c r="K66">
        <v>0.6</v>
      </c>
      <c r="L66">
        <v>30</v>
      </c>
      <c r="M66">
        <f t="shared" si="3"/>
        <v>16</v>
      </c>
    </row>
    <row r="67" spans="2:14">
      <c r="B67">
        <v>10409</v>
      </c>
      <c r="C67" t="str">
        <f t="shared" si="14"/>
        <v>enemy_name_10409</v>
      </c>
      <c r="D67" t="str">
        <f t="shared" si="15"/>
        <v>enemy_desc_10409</v>
      </c>
      <c r="E67" t="s">
        <v>94</v>
      </c>
      <c r="F67" t="str">
        <f t="shared" si="6"/>
        <v>Circle</v>
      </c>
      <c r="G67" t="s">
        <v>11</v>
      </c>
      <c r="H67">
        <v>0.4</v>
      </c>
      <c r="I67">
        <v>1</v>
      </c>
      <c r="J67">
        <f t="shared" si="13"/>
        <v>57</v>
      </c>
      <c r="K67">
        <v>0.7</v>
      </c>
      <c r="L67">
        <v>0</v>
      </c>
      <c r="M67">
        <f t="shared" si="3"/>
        <v>8</v>
      </c>
    </row>
    <row r="68" spans="2:14">
      <c r="B68">
        <v>10410</v>
      </c>
      <c r="C68" t="str">
        <f t="shared" si="14"/>
        <v>enemy_name_10410</v>
      </c>
      <c r="D68" t="str">
        <f t="shared" si="15"/>
        <v>enemy_desc_10410</v>
      </c>
      <c r="E68" t="s">
        <v>95</v>
      </c>
      <c r="F68" t="s">
        <v>174</v>
      </c>
      <c r="G68" t="s">
        <v>12</v>
      </c>
      <c r="H68">
        <v>0.8</v>
      </c>
      <c r="I68">
        <v>1</v>
      </c>
      <c r="J68">
        <f t="shared" si="13"/>
        <v>91</v>
      </c>
      <c r="K68">
        <v>0.55000000000000004</v>
      </c>
      <c r="L68">
        <v>0</v>
      </c>
      <c r="M68">
        <f t="shared" si="3"/>
        <v>16</v>
      </c>
      <c r="N68" t="s">
        <v>95</v>
      </c>
    </row>
    <row r="69" spans="2:14">
      <c r="B69">
        <v>10411</v>
      </c>
      <c r="C69" t="str">
        <f t="shared" si="14"/>
        <v>enemy_name_10411</v>
      </c>
      <c r="D69" t="str">
        <f t="shared" si="15"/>
        <v>enemy_desc_10411</v>
      </c>
      <c r="E69" t="s">
        <v>103</v>
      </c>
      <c r="F69" t="s">
        <v>176</v>
      </c>
      <c r="G69" t="s">
        <v>11</v>
      </c>
      <c r="H69">
        <v>0.8</v>
      </c>
      <c r="I69">
        <v>1</v>
      </c>
      <c r="J69">
        <f t="shared" si="13"/>
        <v>100</v>
      </c>
      <c r="K69">
        <v>0.5</v>
      </c>
      <c r="L69">
        <v>0</v>
      </c>
      <c r="M69">
        <f t="shared" si="3"/>
        <v>16</v>
      </c>
      <c r="N69" t="s">
        <v>103</v>
      </c>
    </row>
    <row r="70" spans="2:14">
      <c r="B70">
        <v>10412</v>
      </c>
      <c r="C70" t="str">
        <f t="shared" si="14"/>
        <v>enemy_name_10412</v>
      </c>
      <c r="D70" t="str">
        <f t="shared" si="15"/>
        <v>enemy_desc_10412</v>
      </c>
      <c r="E70" t="s">
        <v>93</v>
      </c>
      <c r="F70" t="s">
        <v>172</v>
      </c>
      <c r="G70" t="s">
        <v>11</v>
      </c>
      <c r="H70">
        <v>0.75</v>
      </c>
      <c r="I70">
        <v>1</v>
      </c>
      <c r="J70">
        <f t="shared" si="13"/>
        <v>71</v>
      </c>
      <c r="K70">
        <v>0.7</v>
      </c>
      <c r="L70">
        <v>0</v>
      </c>
      <c r="M70">
        <f t="shared" si="3"/>
        <v>15</v>
      </c>
      <c r="N70" t="s">
        <v>93</v>
      </c>
    </row>
    <row r="71" spans="2:14">
      <c r="B71">
        <v>10413</v>
      </c>
      <c r="C71" t="str">
        <f t="shared" si="14"/>
        <v>enemy_name_10413</v>
      </c>
      <c r="D71" t="str">
        <f t="shared" si="15"/>
        <v>enemy_desc_10413</v>
      </c>
      <c r="E71" t="s">
        <v>91</v>
      </c>
      <c r="F71" t="str">
        <f t="shared" si="6"/>
        <v>Circle</v>
      </c>
      <c r="G71" t="s">
        <v>10</v>
      </c>
      <c r="H71">
        <v>0.7</v>
      </c>
      <c r="I71">
        <v>1</v>
      </c>
      <c r="J71">
        <f t="shared" si="13"/>
        <v>71</v>
      </c>
      <c r="K71">
        <v>0.7</v>
      </c>
      <c r="L71">
        <v>50</v>
      </c>
      <c r="M71">
        <f t="shared" si="3"/>
        <v>14</v>
      </c>
    </row>
    <row r="72" spans="2:14">
      <c r="B72">
        <v>10414</v>
      </c>
      <c r="C72" t="str">
        <f t="shared" si="14"/>
        <v>enemy_name_10414</v>
      </c>
      <c r="D72" t="str">
        <f t="shared" si="15"/>
        <v>enemy_desc_10414</v>
      </c>
      <c r="E72" t="s">
        <v>90</v>
      </c>
      <c r="F72" t="s">
        <v>174</v>
      </c>
      <c r="G72" t="s">
        <v>10</v>
      </c>
      <c r="H72">
        <v>0.85</v>
      </c>
      <c r="I72">
        <v>1</v>
      </c>
      <c r="J72">
        <f t="shared" si="13"/>
        <v>91</v>
      </c>
      <c r="K72">
        <v>0.55000000000000004</v>
      </c>
      <c r="L72">
        <v>0</v>
      </c>
      <c r="M72">
        <f t="shared" si="3"/>
        <v>17</v>
      </c>
      <c r="N72" t="s">
        <v>90</v>
      </c>
    </row>
    <row r="73" spans="2:14">
      <c r="B73">
        <v>20401</v>
      </c>
      <c r="C73" t="str">
        <f t="shared" ref="C73:C82" si="16">"enemy_name_"&amp;B73</f>
        <v>enemy_name_20401</v>
      </c>
      <c r="D73" t="str">
        <f t="shared" ref="D73:D82" si="17">"enemy_desc_"&amp;B73</f>
        <v>enemy_desc_20401</v>
      </c>
      <c r="E73" t="s">
        <v>94</v>
      </c>
      <c r="F73" t="s">
        <v>171</v>
      </c>
      <c r="G73" t="s">
        <v>11</v>
      </c>
      <c r="H73">
        <v>0.85</v>
      </c>
      <c r="I73">
        <v>1</v>
      </c>
      <c r="J73">
        <f t="shared" ref="J73:J82" si="18">ROUND(IF(LEFT(B73,1)="2", 500, 100)*(1/K73)*IF(H73&gt;0.5,0.5,H73),0)</f>
        <v>417</v>
      </c>
      <c r="K73">
        <v>0.6</v>
      </c>
      <c r="L73">
        <v>0</v>
      </c>
      <c r="M73">
        <f t="shared" ref="M73:M82" si="19">ROUND(H73*20, 0)</f>
        <v>17</v>
      </c>
      <c r="N73" t="s">
        <v>150</v>
      </c>
    </row>
    <row r="74" spans="2:14">
      <c r="B74">
        <v>20402</v>
      </c>
      <c r="C74" t="str">
        <f t="shared" si="16"/>
        <v>enemy_name_20402</v>
      </c>
      <c r="D74" t="str">
        <f t="shared" si="17"/>
        <v>enemy_desc_20402</v>
      </c>
      <c r="E74" t="s">
        <v>91</v>
      </c>
      <c r="F74" t="s">
        <v>175</v>
      </c>
      <c r="G74" t="s">
        <v>10</v>
      </c>
      <c r="H74">
        <v>0.9</v>
      </c>
      <c r="I74">
        <v>1</v>
      </c>
      <c r="J74">
        <f t="shared" si="18"/>
        <v>500</v>
      </c>
      <c r="K74">
        <v>0.5</v>
      </c>
      <c r="L74">
        <v>0</v>
      </c>
      <c r="M74">
        <f t="shared" si="19"/>
        <v>18</v>
      </c>
      <c r="N74" t="s">
        <v>151</v>
      </c>
    </row>
    <row r="75" spans="2:14">
      <c r="B75">
        <v>20403</v>
      </c>
      <c r="C75" t="str">
        <f t="shared" si="16"/>
        <v>enemy_name_20403</v>
      </c>
      <c r="D75" t="str">
        <f t="shared" si="17"/>
        <v>enemy_desc_20403</v>
      </c>
      <c r="E75" t="s">
        <v>92</v>
      </c>
      <c r="F75" t="s">
        <v>171</v>
      </c>
      <c r="G75" t="s">
        <v>10</v>
      </c>
      <c r="H75">
        <v>0.9</v>
      </c>
      <c r="I75">
        <v>1</v>
      </c>
      <c r="J75">
        <f t="shared" si="18"/>
        <v>333</v>
      </c>
      <c r="K75">
        <v>0.75</v>
      </c>
      <c r="L75">
        <v>0</v>
      </c>
      <c r="M75">
        <f t="shared" si="19"/>
        <v>18</v>
      </c>
      <c r="N75" t="s">
        <v>152</v>
      </c>
    </row>
    <row r="76" spans="2:14">
      <c r="B76">
        <v>20404</v>
      </c>
      <c r="C76" t="str">
        <f t="shared" si="16"/>
        <v>enemy_name_20404</v>
      </c>
      <c r="D76" t="str">
        <f t="shared" si="17"/>
        <v>enemy_desc_20404</v>
      </c>
      <c r="E76" t="s">
        <v>93</v>
      </c>
      <c r="F76" t="s">
        <v>171</v>
      </c>
      <c r="G76" t="s">
        <v>11</v>
      </c>
      <c r="H76">
        <v>1</v>
      </c>
      <c r="I76">
        <v>1</v>
      </c>
      <c r="J76">
        <f t="shared" si="18"/>
        <v>385</v>
      </c>
      <c r="K76">
        <v>0.65</v>
      </c>
      <c r="L76">
        <v>0</v>
      </c>
      <c r="M76">
        <f t="shared" si="19"/>
        <v>20</v>
      </c>
      <c r="N76" t="s">
        <v>153</v>
      </c>
    </row>
    <row r="77" spans="2:14">
      <c r="B77">
        <v>20405</v>
      </c>
      <c r="C77" t="str">
        <f t="shared" si="16"/>
        <v>enemy_name_20405</v>
      </c>
      <c r="D77" t="str">
        <f t="shared" si="17"/>
        <v>enemy_desc_20405</v>
      </c>
      <c r="E77" t="s">
        <v>95</v>
      </c>
      <c r="F77" t="s">
        <v>172</v>
      </c>
      <c r="G77" t="s">
        <v>12</v>
      </c>
      <c r="H77">
        <v>0.9</v>
      </c>
      <c r="I77">
        <v>1</v>
      </c>
      <c r="J77">
        <f t="shared" si="18"/>
        <v>455</v>
      </c>
      <c r="K77">
        <v>0.55000000000000004</v>
      </c>
      <c r="L77">
        <v>0</v>
      </c>
      <c r="M77">
        <f t="shared" si="19"/>
        <v>18</v>
      </c>
      <c r="N77" t="s">
        <v>154</v>
      </c>
    </row>
    <row r="78" spans="2:14">
      <c r="B78">
        <v>20406</v>
      </c>
      <c r="C78" t="str">
        <f t="shared" si="16"/>
        <v>enemy_name_20406</v>
      </c>
      <c r="D78" t="str">
        <f t="shared" si="17"/>
        <v>enemy_desc_20406</v>
      </c>
      <c r="E78" t="s">
        <v>90</v>
      </c>
      <c r="F78" t="s">
        <v>174</v>
      </c>
      <c r="G78" t="s">
        <v>10</v>
      </c>
      <c r="H78">
        <v>1.1499999999999999</v>
      </c>
      <c r="I78">
        <v>1</v>
      </c>
      <c r="J78">
        <f t="shared" si="18"/>
        <v>500</v>
      </c>
      <c r="K78">
        <v>0.5</v>
      </c>
      <c r="L78">
        <v>0</v>
      </c>
      <c r="M78">
        <f t="shared" si="19"/>
        <v>23</v>
      </c>
      <c r="N78" t="s">
        <v>155</v>
      </c>
    </row>
    <row r="79" spans="2:14">
      <c r="B79">
        <v>20407</v>
      </c>
      <c r="C79" t="str">
        <f t="shared" si="16"/>
        <v>enemy_name_20407</v>
      </c>
      <c r="D79" t="str">
        <f t="shared" si="17"/>
        <v>enemy_desc_20407</v>
      </c>
      <c r="E79" t="s">
        <v>88</v>
      </c>
      <c r="F79" t="s">
        <v>176</v>
      </c>
      <c r="G79" t="s">
        <v>12</v>
      </c>
      <c r="H79">
        <v>0.9</v>
      </c>
      <c r="I79">
        <v>1</v>
      </c>
      <c r="J79">
        <f t="shared" si="18"/>
        <v>333</v>
      </c>
      <c r="K79">
        <v>0.75</v>
      </c>
      <c r="L79">
        <v>0</v>
      </c>
      <c r="M79">
        <f t="shared" si="19"/>
        <v>18</v>
      </c>
      <c r="N79" t="s">
        <v>156</v>
      </c>
    </row>
    <row r="80" spans="2:14">
      <c r="B80">
        <v>20408</v>
      </c>
      <c r="C80" t="str">
        <f t="shared" si="16"/>
        <v>enemy_name_20408</v>
      </c>
      <c r="D80" t="str">
        <f t="shared" si="17"/>
        <v>enemy_desc_20408</v>
      </c>
      <c r="E80" t="s">
        <v>89</v>
      </c>
      <c r="F80" t="s">
        <v>173</v>
      </c>
      <c r="G80" t="s">
        <v>11</v>
      </c>
      <c r="H80">
        <v>1.1000000000000001</v>
      </c>
      <c r="I80">
        <v>1</v>
      </c>
      <c r="J80">
        <f t="shared" si="18"/>
        <v>313</v>
      </c>
      <c r="K80">
        <v>0.8</v>
      </c>
      <c r="L80">
        <v>0</v>
      </c>
      <c r="M80">
        <f t="shared" si="19"/>
        <v>22</v>
      </c>
      <c r="N80" t="s">
        <v>157</v>
      </c>
    </row>
    <row r="81" spans="2:14">
      <c r="B81">
        <v>20409</v>
      </c>
      <c r="C81" t="str">
        <f t="shared" si="16"/>
        <v>enemy_name_20409</v>
      </c>
      <c r="D81" t="str">
        <f t="shared" si="17"/>
        <v>enemy_desc_20409</v>
      </c>
      <c r="E81" t="s">
        <v>87</v>
      </c>
      <c r="F81" t="s">
        <v>175</v>
      </c>
      <c r="G81" t="s">
        <v>11</v>
      </c>
      <c r="H81">
        <v>1.2</v>
      </c>
      <c r="I81">
        <v>1</v>
      </c>
      <c r="J81">
        <f t="shared" si="18"/>
        <v>417</v>
      </c>
      <c r="K81">
        <v>0.6</v>
      </c>
      <c r="L81">
        <v>0</v>
      </c>
      <c r="M81">
        <f t="shared" si="19"/>
        <v>24</v>
      </c>
      <c r="N81" t="s">
        <v>158</v>
      </c>
    </row>
    <row r="82" spans="2:14">
      <c r="B82">
        <v>20410</v>
      </c>
      <c r="C82" t="str">
        <f t="shared" si="16"/>
        <v>enemy_name_20410</v>
      </c>
      <c r="D82" t="str">
        <f t="shared" si="17"/>
        <v>enemy_desc_20410</v>
      </c>
      <c r="E82" t="s">
        <v>86</v>
      </c>
      <c r="F82" t="s">
        <v>175</v>
      </c>
      <c r="G82" t="s">
        <v>10</v>
      </c>
      <c r="H82">
        <v>1.25</v>
      </c>
      <c r="I82">
        <v>1</v>
      </c>
      <c r="J82">
        <f t="shared" si="18"/>
        <v>455</v>
      </c>
      <c r="K82">
        <v>0.55000000000000004</v>
      </c>
      <c r="L82">
        <v>0</v>
      </c>
      <c r="M82">
        <f t="shared" si="19"/>
        <v>25</v>
      </c>
      <c r="N82" t="s">
        <v>159</v>
      </c>
    </row>
    <row r="83" spans="2:14">
      <c r="B83">
        <v>10501</v>
      </c>
      <c r="C83" t="str">
        <f t="shared" ref="C83" si="20">"enemy_name_"&amp;B83</f>
        <v>enemy_name_10501</v>
      </c>
      <c r="D83" t="str">
        <f t="shared" ref="D83" si="21">"enemy_desc_"&amp;B83</f>
        <v>enemy_desc_10501</v>
      </c>
      <c r="E83" t="s">
        <v>115</v>
      </c>
      <c r="F83" t="str">
        <f t="shared" ref="F83:F94" si="22">IF(N83="", "Circle", "")</f>
        <v>Circle</v>
      </c>
      <c r="G83" t="s">
        <v>11</v>
      </c>
      <c r="H83">
        <v>0.35</v>
      </c>
      <c r="I83">
        <v>1</v>
      </c>
      <c r="J83">
        <f t="shared" si="13"/>
        <v>58</v>
      </c>
      <c r="K83">
        <v>0.6</v>
      </c>
      <c r="L83">
        <v>0</v>
      </c>
      <c r="M83">
        <f t="shared" si="3"/>
        <v>7</v>
      </c>
    </row>
    <row r="84" spans="2:14">
      <c r="B84">
        <v>10502</v>
      </c>
      <c r="C84" t="str">
        <f t="shared" ref="C84:C98" si="23">"enemy_name_"&amp;B84</f>
        <v>enemy_name_10502</v>
      </c>
      <c r="D84" t="str">
        <f t="shared" ref="D84:D98" si="24">"enemy_desc_"&amp;B84</f>
        <v>enemy_desc_10502</v>
      </c>
      <c r="E84" t="s">
        <v>116</v>
      </c>
      <c r="F84" t="str">
        <f t="shared" si="22"/>
        <v>Circle</v>
      </c>
      <c r="G84" t="s">
        <v>12</v>
      </c>
      <c r="H84">
        <v>0.3</v>
      </c>
      <c r="I84">
        <v>1</v>
      </c>
      <c r="J84">
        <f t="shared" si="13"/>
        <v>60</v>
      </c>
      <c r="K84">
        <v>0.5</v>
      </c>
      <c r="L84">
        <v>0</v>
      </c>
      <c r="M84">
        <f t="shared" si="3"/>
        <v>6</v>
      </c>
    </row>
    <row r="85" spans="2:14">
      <c r="B85">
        <v>10503</v>
      </c>
      <c r="C85" t="str">
        <f t="shared" si="23"/>
        <v>enemy_name_10503</v>
      </c>
      <c r="D85" t="str">
        <f t="shared" si="24"/>
        <v>enemy_desc_10503</v>
      </c>
      <c r="E85" t="s">
        <v>117</v>
      </c>
      <c r="F85" t="str">
        <f t="shared" si="22"/>
        <v>Circle</v>
      </c>
      <c r="G85" t="s">
        <v>10</v>
      </c>
      <c r="H85">
        <v>0.4</v>
      </c>
      <c r="I85">
        <v>1</v>
      </c>
      <c r="J85">
        <f t="shared" si="13"/>
        <v>67</v>
      </c>
      <c r="K85">
        <v>0.6</v>
      </c>
      <c r="L85">
        <v>0</v>
      </c>
      <c r="M85">
        <f t="shared" si="3"/>
        <v>8</v>
      </c>
    </row>
    <row r="86" spans="2:14">
      <c r="B86">
        <v>10504</v>
      </c>
      <c r="C86" t="str">
        <f t="shared" si="23"/>
        <v>enemy_name_10504</v>
      </c>
      <c r="D86" t="str">
        <f t="shared" si="24"/>
        <v>enemy_desc_10504</v>
      </c>
      <c r="E86" t="s">
        <v>118</v>
      </c>
      <c r="F86" t="s">
        <v>174</v>
      </c>
      <c r="G86" t="s">
        <v>11</v>
      </c>
      <c r="H86">
        <v>0.5</v>
      </c>
      <c r="I86">
        <v>1</v>
      </c>
      <c r="J86">
        <f t="shared" si="13"/>
        <v>91</v>
      </c>
      <c r="K86">
        <v>0.55000000000000004</v>
      </c>
      <c r="L86">
        <v>0</v>
      </c>
      <c r="M86">
        <f t="shared" si="3"/>
        <v>10</v>
      </c>
      <c r="N86" t="s">
        <v>118</v>
      </c>
    </row>
    <row r="87" spans="2:14">
      <c r="B87">
        <v>10505</v>
      </c>
      <c r="C87" t="str">
        <f t="shared" si="23"/>
        <v>enemy_name_10505</v>
      </c>
      <c r="D87" t="str">
        <f t="shared" si="24"/>
        <v>enemy_desc_10505</v>
      </c>
      <c r="E87" t="s">
        <v>119</v>
      </c>
      <c r="F87" t="s">
        <v>172</v>
      </c>
      <c r="G87" t="s">
        <v>10</v>
      </c>
      <c r="H87">
        <v>0.4</v>
      </c>
      <c r="I87">
        <v>1</v>
      </c>
      <c r="J87">
        <f t="shared" si="13"/>
        <v>50</v>
      </c>
      <c r="K87">
        <v>0.8</v>
      </c>
      <c r="L87">
        <v>0</v>
      </c>
      <c r="M87">
        <f t="shared" si="3"/>
        <v>8</v>
      </c>
      <c r="N87" t="s">
        <v>119</v>
      </c>
    </row>
    <row r="88" spans="2:14">
      <c r="B88">
        <v>10506</v>
      </c>
      <c r="C88" t="str">
        <f t="shared" si="23"/>
        <v>enemy_name_10506</v>
      </c>
      <c r="D88" t="str">
        <f t="shared" si="24"/>
        <v>enemy_desc_10506</v>
      </c>
      <c r="E88" t="s">
        <v>120</v>
      </c>
      <c r="F88" t="s">
        <v>176</v>
      </c>
      <c r="G88" t="s">
        <v>12</v>
      </c>
      <c r="H88">
        <v>0.5</v>
      </c>
      <c r="I88">
        <v>1</v>
      </c>
      <c r="J88">
        <f t="shared" si="13"/>
        <v>71</v>
      </c>
      <c r="K88">
        <v>0.7</v>
      </c>
      <c r="L88">
        <v>0</v>
      </c>
      <c r="M88">
        <f t="shared" si="3"/>
        <v>10</v>
      </c>
      <c r="N88" t="s">
        <v>120</v>
      </c>
    </row>
    <row r="89" spans="2:14">
      <c r="B89">
        <v>10507</v>
      </c>
      <c r="C89" t="str">
        <f t="shared" si="23"/>
        <v>enemy_name_10507</v>
      </c>
      <c r="D89" t="str">
        <f t="shared" si="24"/>
        <v>enemy_desc_10507</v>
      </c>
      <c r="E89" t="s">
        <v>121</v>
      </c>
      <c r="F89" t="s">
        <v>172</v>
      </c>
      <c r="G89" t="s">
        <v>10</v>
      </c>
      <c r="H89">
        <v>0.5</v>
      </c>
      <c r="I89">
        <v>1</v>
      </c>
      <c r="J89">
        <f t="shared" si="13"/>
        <v>83</v>
      </c>
      <c r="K89">
        <v>0.6</v>
      </c>
      <c r="L89">
        <v>10</v>
      </c>
      <c r="M89">
        <f t="shared" si="3"/>
        <v>10</v>
      </c>
    </row>
    <row r="90" spans="2:14">
      <c r="B90">
        <v>10508</v>
      </c>
      <c r="C90" t="str">
        <f t="shared" si="23"/>
        <v>enemy_name_10508</v>
      </c>
      <c r="D90" t="str">
        <f t="shared" si="24"/>
        <v>enemy_desc_10508</v>
      </c>
      <c r="E90" t="s">
        <v>105</v>
      </c>
      <c r="F90" t="s">
        <v>171</v>
      </c>
      <c r="G90" t="s">
        <v>10</v>
      </c>
      <c r="H90">
        <v>0.7</v>
      </c>
      <c r="I90">
        <v>1</v>
      </c>
      <c r="J90">
        <f t="shared" si="13"/>
        <v>91</v>
      </c>
      <c r="K90">
        <v>0.55000000000000004</v>
      </c>
      <c r="L90">
        <v>0</v>
      </c>
      <c r="M90">
        <f t="shared" si="3"/>
        <v>14</v>
      </c>
      <c r="N90" t="s">
        <v>105</v>
      </c>
    </row>
    <row r="91" spans="2:14">
      <c r="B91">
        <v>10509</v>
      </c>
      <c r="C91" t="str">
        <f t="shared" si="23"/>
        <v>enemy_name_10509</v>
      </c>
      <c r="D91" t="str">
        <f t="shared" si="24"/>
        <v>enemy_desc_10509</v>
      </c>
      <c r="E91" t="s">
        <v>122</v>
      </c>
      <c r="F91" t="s">
        <v>173</v>
      </c>
      <c r="G91" t="s">
        <v>12</v>
      </c>
      <c r="H91">
        <v>0.5</v>
      </c>
      <c r="I91">
        <v>1</v>
      </c>
      <c r="J91">
        <f t="shared" si="13"/>
        <v>67</v>
      </c>
      <c r="K91">
        <v>0.75</v>
      </c>
      <c r="L91">
        <v>0</v>
      </c>
      <c r="M91">
        <f t="shared" si="3"/>
        <v>10</v>
      </c>
      <c r="N91" t="s">
        <v>122</v>
      </c>
    </row>
    <row r="92" spans="2:14">
      <c r="B92">
        <v>10510</v>
      </c>
      <c r="C92" t="str">
        <f t="shared" si="23"/>
        <v>enemy_name_10510</v>
      </c>
      <c r="D92" t="str">
        <f t="shared" si="24"/>
        <v>enemy_desc_10510</v>
      </c>
      <c r="E92" t="s">
        <v>127</v>
      </c>
      <c r="F92" t="str">
        <f t="shared" si="22"/>
        <v>Circle</v>
      </c>
      <c r="G92" t="s">
        <v>12</v>
      </c>
      <c r="H92">
        <v>0.7</v>
      </c>
      <c r="I92">
        <v>1</v>
      </c>
      <c r="J92">
        <f t="shared" si="13"/>
        <v>63</v>
      </c>
      <c r="K92">
        <v>0.8</v>
      </c>
      <c r="L92">
        <v>0</v>
      </c>
      <c r="M92">
        <f t="shared" si="3"/>
        <v>14</v>
      </c>
    </row>
    <row r="93" spans="2:14">
      <c r="B93">
        <v>10511</v>
      </c>
      <c r="C93" t="str">
        <f t="shared" si="23"/>
        <v>enemy_name_10511</v>
      </c>
      <c r="D93" t="str">
        <f t="shared" si="24"/>
        <v>enemy_desc_10511</v>
      </c>
      <c r="E93" t="s">
        <v>126</v>
      </c>
      <c r="F93" t="s">
        <v>174</v>
      </c>
      <c r="G93" t="s">
        <v>11</v>
      </c>
      <c r="H93">
        <v>0.7</v>
      </c>
      <c r="I93">
        <v>1</v>
      </c>
      <c r="J93">
        <f t="shared" si="13"/>
        <v>100</v>
      </c>
      <c r="K93">
        <v>0.5</v>
      </c>
      <c r="L93">
        <v>0</v>
      </c>
      <c r="M93">
        <f t="shared" si="3"/>
        <v>14</v>
      </c>
      <c r="N93" t="s">
        <v>126</v>
      </c>
    </row>
    <row r="94" spans="2:14">
      <c r="B94">
        <v>10512</v>
      </c>
      <c r="C94" t="str">
        <f t="shared" si="23"/>
        <v>enemy_name_10512</v>
      </c>
      <c r="D94" t="str">
        <f t="shared" si="24"/>
        <v>enemy_desc_10512</v>
      </c>
      <c r="E94" t="s">
        <v>129</v>
      </c>
      <c r="F94" t="str">
        <f t="shared" si="22"/>
        <v>Circle</v>
      </c>
      <c r="G94" t="s">
        <v>11</v>
      </c>
      <c r="H94">
        <v>0.45</v>
      </c>
      <c r="I94">
        <v>1</v>
      </c>
      <c r="J94">
        <f t="shared" si="13"/>
        <v>82</v>
      </c>
      <c r="K94">
        <v>0.55000000000000004</v>
      </c>
      <c r="L94">
        <v>0</v>
      </c>
      <c r="M94">
        <f t="shared" si="3"/>
        <v>9</v>
      </c>
    </row>
    <row r="95" spans="2:14">
      <c r="B95">
        <v>10513</v>
      </c>
      <c r="C95" t="str">
        <f t="shared" si="23"/>
        <v>enemy_name_10513</v>
      </c>
      <c r="D95" t="str">
        <f t="shared" si="24"/>
        <v>enemy_desc_10513</v>
      </c>
      <c r="E95" t="s">
        <v>128</v>
      </c>
      <c r="F95" t="s">
        <v>173</v>
      </c>
      <c r="G95" t="s">
        <v>11</v>
      </c>
      <c r="H95">
        <v>0.6</v>
      </c>
      <c r="I95">
        <v>1</v>
      </c>
      <c r="J95">
        <f t="shared" si="13"/>
        <v>63</v>
      </c>
      <c r="K95">
        <v>0.8</v>
      </c>
      <c r="L95">
        <v>0</v>
      </c>
      <c r="M95">
        <f t="shared" si="3"/>
        <v>12</v>
      </c>
      <c r="N95" t="s">
        <v>128</v>
      </c>
    </row>
    <row r="96" spans="2:14">
      <c r="B96">
        <v>10514</v>
      </c>
      <c r="C96" t="str">
        <f t="shared" si="23"/>
        <v>enemy_name_10514</v>
      </c>
      <c r="D96" t="str">
        <f t="shared" si="24"/>
        <v>enemy_desc_10514</v>
      </c>
      <c r="E96" t="s">
        <v>124</v>
      </c>
      <c r="F96" t="s">
        <v>174</v>
      </c>
      <c r="G96" t="s">
        <v>12</v>
      </c>
      <c r="H96">
        <v>0.7</v>
      </c>
      <c r="I96">
        <v>1</v>
      </c>
      <c r="J96">
        <f t="shared" si="13"/>
        <v>63</v>
      </c>
      <c r="K96">
        <v>0.8</v>
      </c>
      <c r="L96">
        <v>0</v>
      </c>
      <c r="M96">
        <f t="shared" si="3"/>
        <v>14</v>
      </c>
      <c r="N96" t="s">
        <v>124</v>
      </c>
    </row>
    <row r="97" spans="2:14">
      <c r="B97">
        <v>10515</v>
      </c>
      <c r="C97" t="str">
        <f t="shared" si="23"/>
        <v>enemy_name_10515</v>
      </c>
      <c r="D97" t="str">
        <f t="shared" si="24"/>
        <v>enemy_desc_10515</v>
      </c>
      <c r="E97" t="s">
        <v>123</v>
      </c>
      <c r="F97" t="s">
        <v>176</v>
      </c>
      <c r="G97" t="s">
        <v>10</v>
      </c>
      <c r="H97">
        <v>0.8</v>
      </c>
      <c r="I97">
        <v>1</v>
      </c>
      <c r="J97">
        <f t="shared" si="13"/>
        <v>100</v>
      </c>
      <c r="K97">
        <v>0.5</v>
      </c>
      <c r="L97">
        <v>0</v>
      </c>
      <c r="M97">
        <f t="shared" si="3"/>
        <v>16</v>
      </c>
      <c r="N97" t="s">
        <v>123</v>
      </c>
    </row>
    <row r="98" spans="2:14">
      <c r="B98">
        <v>10516</v>
      </c>
      <c r="C98" t="str">
        <f t="shared" si="23"/>
        <v>enemy_name_10516</v>
      </c>
      <c r="D98" t="str">
        <f t="shared" si="24"/>
        <v>enemy_desc_10516</v>
      </c>
      <c r="E98" t="s">
        <v>125</v>
      </c>
      <c r="F98" t="s">
        <v>174</v>
      </c>
      <c r="G98" t="s">
        <v>12</v>
      </c>
      <c r="H98">
        <v>0.8</v>
      </c>
      <c r="I98">
        <v>1</v>
      </c>
      <c r="J98">
        <f t="shared" si="13"/>
        <v>83</v>
      </c>
      <c r="K98">
        <v>0.6</v>
      </c>
      <c r="L98">
        <v>50</v>
      </c>
      <c r="M98">
        <f t="shared" si="3"/>
        <v>16</v>
      </c>
    </row>
    <row r="99" spans="2:14">
      <c r="B99">
        <v>20501</v>
      </c>
      <c r="C99" t="str">
        <f t="shared" ref="C99:C108" si="25">"enemy_name_"&amp;B99</f>
        <v>enemy_name_20501</v>
      </c>
      <c r="D99" t="str">
        <f t="shared" ref="D99:D108" si="26">"enemy_desc_"&amp;B99</f>
        <v>enemy_desc_20501</v>
      </c>
      <c r="E99" t="s">
        <v>104</v>
      </c>
      <c r="F99" t="s">
        <v>171</v>
      </c>
      <c r="G99" t="s">
        <v>10</v>
      </c>
      <c r="H99">
        <v>1</v>
      </c>
      <c r="I99">
        <v>1</v>
      </c>
      <c r="J99">
        <f t="shared" ref="J99:J108" si="27">ROUND(IF(LEFT(B99,1)="2", 500, 100)*(1/K99)*IF(H99&gt;0.5,0.5,H99),0)</f>
        <v>500</v>
      </c>
      <c r="K99">
        <v>0.5</v>
      </c>
      <c r="L99">
        <v>0</v>
      </c>
      <c r="M99">
        <f t="shared" ref="M99:M108" si="28">ROUND(H99*20, 0)</f>
        <v>20</v>
      </c>
      <c r="N99" t="s">
        <v>160</v>
      </c>
    </row>
    <row r="100" spans="2:14">
      <c r="B100">
        <v>20502</v>
      </c>
      <c r="C100" t="str">
        <f t="shared" si="25"/>
        <v>enemy_name_20502</v>
      </c>
      <c r="D100" t="str">
        <f t="shared" si="26"/>
        <v>enemy_desc_20502</v>
      </c>
      <c r="E100" t="s">
        <v>106</v>
      </c>
      <c r="F100" t="s">
        <v>173</v>
      </c>
      <c r="G100" t="s">
        <v>11</v>
      </c>
      <c r="H100">
        <v>0.8</v>
      </c>
      <c r="I100">
        <v>1</v>
      </c>
      <c r="J100">
        <f t="shared" si="27"/>
        <v>417</v>
      </c>
      <c r="K100">
        <v>0.6</v>
      </c>
      <c r="L100">
        <v>0</v>
      </c>
      <c r="M100">
        <f t="shared" si="28"/>
        <v>16</v>
      </c>
      <c r="N100" t="s">
        <v>161</v>
      </c>
    </row>
    <row r="101" spans="2:14">
      <c r="B101">
        <v>20503</v>
      </c>
      <c r="C101" t="str">
        <f t="shared" si="25"/>
        <v>enemy_name_20503</v>
      </c>
      <c r="D101" t="str">
        <f t="shared" si="26"/>
        <v>enemy_desc_20503</v>
      </c>
      <c r="E101" t="s">
        <v>107</v>
      </c>
      <c r="F101" t="s">
        <v>171</v>
      </c>
      <c r="G101" t="s">
        <v>12</v>
      </c>
      <c r="H101">
        <v>0.8</v>
      </c>
      <c r="I101">
        <v>1</v>
      </c>
      <c r="J101">
        <f t="shared" si="27"/>
        <v>417</v>
      </c>
      <c r="K101">
        <v>0.6</v>
      </c>
      <c r="L101">
        <v>0</v>
      </c>
      <c r="M101">
        <f t="shared" si="28"/>
        <v>16</v>
      </c>
      <c r="N101" t="s">
        <v>162</v>
      </c>
    </row>
    <row r="102" spans="2:14">
      <c r="B102">
        <v>20504</v>
      </c>
      <c r="C102" t="str">
        <f t="shared" si="25"/>
        <v>enemy_name_20504</v>
      </c>
      <c r="D102" t="str">
        <f t="shared" si="26"/>
        <v>enemy_desc_20504</v>
      </c>
      <c r="E102" t="s">
        <v>108</v>
      </c>
      <c r="F102" t="s">
        <v>174</v>
      </c>
      <c r="G102" t="s">
        <v>11</v>
      </c>
      <c r="H102">
        <v>1.2</v>
      </c>
      <c r="I102">
        <v>1</v>
      </c>
      <c r="J102">
        <f t="shared" si="27"/>
        <v>500</v>
      </c>
      <c r="K102">
        <v>0.5</v>
      </c>
      <c r="L102">
        <v>0</v>
      </c>
      <c r="M102">
        <f t="shared" si="28"/>
        <v>24</v>
      </c>
      <c r="N102" t="s">
        <v>163</v>
      </c>
    </row>
    <row r="103" spans="2:14">
      <c r="B103">
        <v>20505</v>
      </c>
      <c r="C103" t="str">
        <f t="shared" si="25"/>
        <v>enemy_name_20505</v>
      </c>
      <c r="D103" t="str">
        <f t="shared" si="26"/>
        <v>enemy_desc_20505</v>
      </c>
      <c r="E103" t="s">
        <v>109</v>
      </c>
      <c r="F103" t="s">
        <v>175</v>
      </c>
      <c r="G103" t="s">
        <v>11</v>
      </c>
      <c r="H103">
        <v>1.1499999999999999</v>
      </c>
      <c r="I103">
        <v>1</v>
      </c>
      <c r="J103">
        <f t="shared" si="27"/>
        <v>500</v>
      </c>
      <c r="K103">
        <v>0.5</v>
      </c>
      <c r="L103">
        <v>0</v>
      </c>
      <c r="M103">
        <f t="shared" si="28"/>
        <v>23</v>
      </c>
      <c r="N103" t="s">
        <v>164</v>
      </c>
    </row>
    <row r="104" spans="2:14">
      <c r="B104">
        <v>20506</v>
      </c>
      <c r="C104" t="str">
        <f t="shared" si="25"/>
        <v>enemy_name_20506</v>
      </c>
      <c r="D104" t="str">
        <f t="shared" si="26"/>
        <v>enemy_desc_20506</v>
      </c>
      <c r="E104" t="s">
        <v>114</v>
      </c>
      <c r="F104" t="s">
        <v>176</v>
      </c>
      <c r="G104" t="s">
        <v>10</v>
      </c>
      <c r="H104">
        <v>0.8</v>
      </c>
      <c r="I104">
        <v>1</v>
      </c>
      <c r="J104">
        <f t="shared" si="27"/>
        <v>500</v>
      </c>
      <c r="K104">
        <v>0.5</v>
      </c>
      <c r="L104">
        <v>0</v>
      </c>
      <c r="M104">
        <f t="shared" si="28"/>
        <v>16</v>
      </c>
      <c r="N104" t="s">
        <v>165</v>
      </c>
    </row>
    <row r="105" spans="2:14">
      <c r="B105">
        <v>20507</v>
      </c>
      <c r="C105" t="str">
        <f t="shared" si="25"/>
        <v>enemy_name_20507</v>
      </c>
      <c r="D105" t="str">
        <f t="shared" si="26"/>
        <v>enemy_desc_20507</v>
      </c>
      <c r="E105" t="s">
        <v>110</v>
      </c>
      <c r="F105" t="s">
        <v>171</v>
      </c>
      <c r="G105" t="s">
        <v>12</v>
      </c>
      <c r="H105">
        <v>1</v>
      </c>
      <c r="I105">
        <v>1</v>
      </c>
      <c r="J105">
        <f t="shared" si="27"/>
        <v>500</v>
      </c>
      <c r="K105">
        <v>0.5</v>
      </c>
      <c r="L105">
        <v>0</v>
      </c>
      <c r="M105">
        <f t="shared" si="28"/>
        <v>20</v>
      </c>
      <c r="N105" t="s">
        <v>166</v>
      </c>
    </row>
    <row r="106" spans="2:14">
      <c r="B106">
        <v>20508</v>
      </c>
      <c r="C106" t="str">
        <f t="shared" si="25"/>
        <v>enemy_name_20508</v>
      </c>
      <c r="D106" t="str">
        <f t="shared" si="26"/>
        <v>enemy_desc_20508</v>
      </c>
      <c r="E106" t="s">
        <v>111</v>
      </c>
      <c r="F106" t="s">
        <v>175</v>
      </c>
      <c r="G106" t="s">
        <v>11</v>
      </c>
      <c r="H106">
        <v>1.1000000000000001</v>
      </c>
      <c r="I106">
        <v>1</v>
      </c>
      <c r="J106">
        <f t="shared" si="27"/>
        <v>500</v>
      </c>
      <c r="K106">
        <v>0.5</v>
      </c>
      <c r="L106">
        <v>0</v>
      </c>
      <c r="M106">
        <f t="shared" si="28"/>
        <v>22</v>
      </c>
      <c r="N106" t="s">
        <v>167</v>
      </c>
    </row>
    <row r="107" spans="2:14">
      <c r="B107">
        <v>20509</v>
      </c>
      <c r="C107" t="str">
        <f t="shared" si="25"/>
        <v>enemy_name_20509</v>
      </c>
      <c r="D107" t="str">
        <f t="shared" si="26"/>
        <v>enemy_desc_20509</v>
      </c>
      <c r="E107" t="s">
        <v>113</v>
      </c>
      <c r="F107" t="s">
        <v>175</v>
      </c>
      <c r="G107" t="s">
        <v>12</v>
      </c>
      <c r="H107">
        <v>1</v>
      </c>
      <c r="I107">
        <v>1</v>
      </c>
      <c r="J107">
        <f t="shared" si="27"/>
        <v>500</v>
      </c>
      <c r="K107">
        <v>0.5</v>
      </c>
      <c r="L107">
        <v>0</v>
      </c>
      <c r="M107">
        <f t="shared" si="28"/>
        <v>20</v>
      </c>
      <c r="N107" t="s">
        <v>168</v>
      </c>
    </row>
    <row r="108" spans="2:14">
      <c r="B108">
        <v>20510</v>
      </c>
      <c r="C108" t="str">
        <f t="shared" si="25"/>
        <v>enemy_name_20510</v>
      </c>
      <c r="D108" t="str">
        <f t="shared" si="26"/>
        <v>enemy_desc_20510</v>
      </c>
      <c r="E108" t="s">
        <v>112</v>
      </c>
      <c r="F108" t="s">
        <v>175</v>
      </c>
      <c r="G108" t="s">
        <v>10</v>
      </c>
      <c r="H108">
        <v>1.3</v>
      </c>
      <c r="I108">
        <v>1</v>
      </c>
      <c r="J108">
        <f t="shared" si="27"/>
        <v>500</v>
      </c>
      <c r="K108">
        <v>0.5</v>
      </c>
      <c r="L108">
        <v>0</v>
      </c>
      <c r="M108">
        <f t="shared" si="28"/>
        <v>26</v>
      </c>
      <c r="N108" t="s">
        <v>169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E13" sqref="E13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61</v>
      </c>
      <c r="C12" s="15" t="s">
        <v>43</v>
      </c>
      <c r="D12" s="16"/>
      <c r="E12" s="20" t="s">
        <v>62</v>
      </c>
      <c r="F12" s="15"/>
    </row>
    <row r="13" spans="2:6">
      <c r="B13" s="4" t="s">
        <v>7</v>
      </c>
      <c r="C13" s="17" t="s">
        <v>58</v>
      </c>
      <c r="D13" s="17"/>
      <c r="E13" s="17" t="s">
        <v>59</v>
      </c>
      <c r="F13" s="17"/>
    </row>
    <row r="14" spans="2:6" ht="34.799999999999997">
      <c r="B14" s="4" t="s">
        <v>8</v>
      </c>
      <c r="C14" s="17" t="s">
        <v>44</v>
      </c>
      <c r="D14" s="17"/>
      <c r="E14" s="21" t="s">
        <v>60</v>
      </c>
      <c r="F14" s="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2022-06-28T14:44:14Z</dcterms:modified>
</cp:coreProperties>
</file>