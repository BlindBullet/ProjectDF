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353A9D64-2938-4753-AA88-C4D8E8A49684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34" i="2" l="1"/>
  <c r="L35" i="2"/>
  <c r="L36" i="2"/>
  <c r="L37" i="2"/>
  <c r="L38" i="2"/>
  <c r="I37" i="2"/>
  <c r="I38" i="2"/>
  <c r="I36" i="2"/>
  <c r="I35" i="2"/>
  <c r="I34" i="2"/>
  <c r="I33" i="2"/>
  <c r="I32" i="2"/>
  <c r="L33" i="2"/>
  <c r="L32" i="2"/>
  <c r="I31" i="2"/>
  <c r="L31" i="2"/>
  <c r="I30" i="2"/>
  <c r="L30" i="2"/>
  <c r="I29" i="2"/>
  <c r="L29" i="2"/>
  <c r="I28" i="2"/>
  <c r="L28" i="2"/>
  <c r="I27" i="2"/>
  <c r="L27" i="2"/>
  <c r="I26" i="2"/>
  <c r="L26" i="2"/>
  <c r="C38" i="2"/>
  <c r="D38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C29" i="2"/>
  <c r="D29" i="2"/>
  <c r="C28" i="2"/>
  <c r="D28" i="2"/>
  <c r="C27" i="2"/>
  <c r="D27" i="2"/>
  <c r="C26" i="2"/>
  <c r="D26" i="2"/>
  <c r="I25" i="2"/>
  <c r="L25" i="2"/>
  <c r="C25" i="2"/>
  <c r="D25" i="2"/>
  <c r="I24" i="2"/>
  <c r="I23" i="2"/>
  <c r="I22" i="2"/>
  <c r="L24" i="2"/>
  <c r="L23" i="2"/>
  <c r="L22" i="2"/>
  <c r="C24" i="2"/>
  <c r="D24" i="2"/>
  <c r="C23" i="2"/>
  <c r="D23" i="2"/>
  <c r="C22" i="2"/>
  <c r="D22" i="2"/>
  <c r="I21" i="2"/>
  <c r="L21" i="2"/>
  <c r="C21" i="2"/>
  <c r="D21" i="2"/>
  <c r="I20" i="2"/>
  <c r="L20" i="2"/>
  <c r="C20" i="2"/>
  <c r="D20" i="2"/>
  <c r="I19" i="2"/>
  <c r="L19" i="2"/>
  <c r="D19" i="2"/>
  <c r="C19" i="2"/>
  <c r="I18" i="2"/>
  <c r="L18" i="2"/>
  <c r="C18" i="2"/>
  <c r="D18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2" i="2"/>
  <c r="L12" i="2"/>
  <c r="C12" i="2"/>
  <c r="D12" i="2"/>
  <c r="L3" i="2"/>
  <c r="L4" i="2"/>
  <c r="L5" i="2"/>
  <c r="L6" i="2"/>
  <c r="L7" i="2"/>
  <c r="L8" i="2"/>
  <c r="L9" i="2"/>
  <c r="L10" i="2"/>
  <c r="L11" i="2"/>
  <c r="L13" i="2"/>
  <c r="L14" i="2"/>
  <c r="L15" i="2"/>
  <c r="L16" i="2"/>
  <c r="L17" i="2"/>
  <c r="L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<sst xmlns="http://schemas.openxmlformats.org/spreadsheetml/2006/main" count="143" uniqueCount="70">
  <si>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</si>
  <si>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</si>
  <si>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</si>
  <si>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</si>
  <si>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</si>
  <si>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</si>
  <si>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</si>
  <si>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</si>
  <si>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</si>
  <si>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</si>
  <si>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</si>
  <si>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</si>
  <si>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</si>
  <si>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</si>
  <si>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</si>
  <si>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</si>
  <si>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</si>
  <si>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</si>
  <si>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</si>
  <si>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</si>
  <si>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</si>
  <si>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</si>
  <si>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</si>
  <si>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</si>
  <si>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</si>
  <si>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</si>
  <si>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</si>
  <si>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</si>
  <si>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</si>
  <si>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</si>
  <si>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</si>
  <si>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</si>
  <si>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</si>
  <si>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</si>
  <si>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</si>
  <si>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</si>
  <si>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</si>
  <si>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</si>
  <si>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</si>
  <si>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</si>
  <si>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</si>
  <si>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</si>
  <si>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</si>
  <si>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</si>
  <si>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</si>
  <si>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</si>
  <si>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</si>
  <si>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</si>
  <si>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</si>
  <si>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</si>
  <si>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</si>
  <si>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</si>
  <si>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</si>
  <si>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</si>
  <si>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</si>
  <si>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</si>
  <si>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</si>
  <si>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</si>
  <si>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</si>
  <si>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</si>
  <si>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적이 사용할 스킬
입력하지 않을 경우 스킬 없음</t>
    <phoneticPr fontId="1" type="noConversion"/>
  </si>
  <si>
    <t>Def</t>
    <phoneticPr fontId="1" type="noConversion"/>
  </si>
  <si>
    <t>적 방어력(%)</t>
    <phoneticPr fontId="1" type="noConversion"/>
  </si>
  <si>
    <t>SlimeHealer</t>
    <phoneticPr fontId="1" type="noConversion"/>
  </si>
  <si>
    <t>SeaAbismos</t>
    <phoneticPr fontId="1" type="noConversion"/>
  </si>
  <si>
    <t>SeaTortoad</t>
    <phoneticPr fontId="1" type="noConversion"/>
  </si>
  <si>
    <t>GiantBug</t>
    <phoneticPr fontId="1" type="noConversion"/>
  </si>
  <si>
    <t>SeaDragon</t>
    <phoneticPr fontId="1" type="noConversion"/>
  </si>
  <si>
    <t>ShellClaw</t>
    <phoneticPr fontId="1" type="noConversion"/>
  </si>
  <si>
    <t>CrocodileKing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</si>
</sst>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38"/>
  <sheetViews>
    <sheetView tabSelected="1" topLeftCell="A7" workbookViewId="0">
      <selection activeCell="K39" sqref="K39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3.19921875" customWidth="1"/>
    <col min="13" max="13" width="16.5" bestFit="1" customWidth="1"/>
  </cols>
  <sheetData>
    <row r="1" spans="2:13" ht="33.75" customHeight="1">
      <c r="B1" t="s">
        <v>0</v>
      </c>
      <c r="C1" t="s">
        <v>2</v>
      </c>
      <c r="D1" t="s">
        <v>3</v>
      </c>
      <c r="E1" t="s">
        <v>1</v>
      </c>
      <c r="F1" t="s">
        <v>9</v>
      </c>
      <c r="G1" t="s">
        <v>4</v>
      </c>
      <c r="H1" t="s">
        <v>13</v>
      </c>
      <c r="I1" t="s">
        <v>6</v>
      </c>
      <c r="J1" t="s">
        <v>5</v>
      </c>
      <c r="K1" t="s">
        <v>61</v>
      </c>
      <c r="L1" t="s">
        <v>7</v>
      </c>
      <c r="M1" t="s">
        <v>8</v>
      </c>
    </row>
    <row r="2" spans="2:13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10</v>
      </c>
      <c r="G2">
        <v>0.3</v>
      </c>
      <c r="H2">
        <v>1</v>
      </c>
      <c r="I2">
        <f>ROUND(IF(LEFT(B2,1)="2", 300, 150)*(1/J2)*G2,0)</f>
        <v>56</v>
      </c>
      <c r="J2">
        <v>0.8</v>
      </c>
      <c r="K2">
        <v>0</v>
      </c>
      <c r="L2">
        <f>ROUND(G2*20, 0)</f>
        <v>6</v>
      </c>
    </row>
    <row r="3" spans="2:13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11</v>
      </c>
      <c r="G3">
        <v>0.5</v>
      </c>
      <c r="H3">
        <v>1</v>
      </c>
      <c r="I3">
        <f t="shared" ref="I3:I38" si="2">ROUND(IF(LEFT(B3,1)="2", 300, 150)*(1/J3)*G3,0)</f>
        <v>150</v>
      </c>
      <c r="J3">
        <v>0.5</v>
      </c>
      <c r="K3">
        <v>0</v>
      </c>
      <c r="L3">
        <f t="shared" ref="L3:L38" si="3">ROUND(G3*20, 0)</f>
        <v>10</v>
      </c>
    </row>
    <row r="4" spans="2:13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12</v>
      </c>
      <c r="G4">
        <v>0.5</v>
      </c>
      <c r="H4">
        <v>1</v>
      </c>
      <c r="I4">
        <f t="shared" si="2"/>
        <v>125</v>
      </c>
      <c r="J4">
        <v>0.6</v>
      </c>
      <c r="K4">
        <v>0</v>
      </c>
      <c r="L4">
        <f t="shared" si="3"/>
        <v>10</v>
      </c>
      <c r="M4" t="s">
        <v>17</v>
      </c>
    </row>
    <row r="5" spans="2:13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12</v>
      </c>
      <c r="G5">
        <v>0.6</v>
      </c>
      <c r="H5">
        <v>2</v>
      </c>
      <c r="I5">
        <f t="shared" si="2"/>
        <v>180</v>
      </c>
      <c r="J5">
        <v>0.5</v>
      </c>
      <c r="K5">
        <v>0</v>
      </c>
      <c r="L5">
        <f t="shared" si="3"/>
        <v>12</v>
      </c>
      <c r="M5" t="s">
        <v>18</v>
      </c>
    </row>
    <row r="6" spans="2:13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12</v>
      </c>
      <c r="G6">
        <v>0.4</v>
      </c>
      <c r="H6">
        <v>1</v>
      </c>
      <c r="I6">
        <f t="shared" si="2"/>
        <v>150</v>
      </c>
      <c r="J6">
        <v>0.4</v>
      </c>
      <c r="K6">
        <v>0</v>
      </c>
      <c r="L6">
        <f t="shared" si="3"/>
        <v>8</v>
      </c>
      <c r="M6" t="s">
        <v>21</v>
      </c>
    </row>
    <row r="7" spans="2:13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11</v>
      </c>
      <c r="G7">
        <v>0.4</v>
      </c>
      <c r="H7">
        <v>1</v>
      </c>
      <c r="I7">
        <f t="shared" si="2"/>
        <v>150</v>
      </c>
      <c r="J7">
        <v>0.4</v>
      </c>
      <c r="K7">
        <v>0</v>
      </c>
      <c r="L7">
        <f t="shared" si="3"/>
        <v>8</v>
      </c>
      <c r="M7" t="s">
        <v>20</v>
      </c>
    </row>
    <row r="8" spans="2:13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11</v>
      </c>
      <c r="G8">
        <v>0.4</v>
      </c>
      <c r="H8">
        <v>1</v>
      </c>
      <c r="I8">
        <f t="shared" si="2"/>
        <v>120</v>
      </c>
      <c r="J8">
        <v>0.5</v>
      </c>
      <c r="K8">
        <v>0</v>
      </c>
      <c r="L8">
        <f t="shared" si="3"/>
        <v>8</v>
      </c>
      <c r="M8" t="s">
        <v>16</v>
      </c>
    </row>
    <row r="9" spans="2:13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10</v>
      </c>
      <c r="G9">
        <v>0.5</v>
      </c>
      <c r="H9">
        <v>1</v>
      </c>
      <c r="I9">
        <f t="shared" si="2"/>
        <v>75</v>
      </c>
      <c r="J9">
        <v>1</v>
      </c>
      <c r="K9">
        <v>0</v>
      </c>
      <c r="L9">
        <f t="shared" si="3"/>
        <v>10</v>
      </c>
    </row>
    <row r="10" spans="2:13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11</v>
      </c>
      <c r="G10">
        <v>0.35</v>
      </c>
      <c r="H10">
        <v>1</v>
      </c>
      <c r="I10">
        <f t="shared" si="2"/>
        <v>44</v>
      </c>
      <c r="J10">
        <v>1.2</v>
      </c>
      <c r="K10">
        <v>0</v>
      </c>
      <c r="L10">
        <f t="shared" si="3"/>
        <v>7</v>
      </c>
    </row>
    <row r="11" spans="2:13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11</v>
      </c>
      <c r="G11">
        <v>0.4</v>
      </c>
      <c r="H11">
        <v>1</v>
      </c>
      <c r="I11">
        <f t="shared" si="2"/>
        <v>150</v>
      </c>
      <c r="J11">
        <v>0.4</v>
      </c>
      <c r="K11">
        <v>0</v>
      </c>
      <c r="L11">
        <f t="shared" si="3"/>
        <v>8</v>
      </c>
    </row>
    <row r="12" spans="2:13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12</v>
      </c>
      <c r="G12">
        <v>0.6</v>
      </c>
      <c r="H12">
        <v>1</v>
      </c>
      <c r="I12">
        <f t="shared" si="2"/>
        <v>257</v>
      </c>
      <c r="J12">
        <v>0.35</v>
      </c>
      <c r="K12">
        <v>0</v>
      </c>
      <c r="L12">
        <f t="shared" si="3"/>
        <v>12</v>
      </c>
      <c r="M12" t="s">
        <v>30</v>
      </c>
    </row>
    <row r="13" spans="2:13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12</v>
      </c>
      <c r="G13">
        <v>1</v>
      </c>
      <c r="H13">
        <v>1</v>
      </c>
      <c r="I13">
        <f t="shared" si="2"/>
        <v>750</v>
      </c>
      <c r="J13">
        <v>0.4</v>
      </c>
      <c r="K13">
        <v>0</v>
      </c>
      <c r="L13">
        <f t="shared" si="3"/>
        <v>20</v>
      </c>
      <c r="M13" t="s">
        <v>25</v>
      </c>
    </row>
    <row r="14" spans="2:13">
      <c r="B14">
        <v>20002</v>
      </c>
      <c r="C14" t="str">
        <f>"enemy_name_"&amp;B14</f>
        <v>enemy_name_20002</v>
      </c>
      <c r="D14" t="str">
        <f t="shared" ref="D14:D36" si="4">"enemy_desc_"&amp;B14</f>
        <v>enemy_desc_20002</v>
      </c>
      <c r="E14" t="s">
        <v>21</v>
      </c>
      <c r="F14" t="s">
        <v>11</v>
      </c>
      <c r="G14">
        <v>1</v>
      </c>
      <c r="H14">
        <v>1</v>
      </c>
      <c r="I14">
        <f t="shared" si="2"/>
        <v>750</v>
      </c>
      <c r="J14">
        <v>0.4</v>
      </c>
      <c r="K14">
        <v>0</v>
      </c>
      <c r="L14">
        <f t="shared" si="3"/>
        <v>20</v>
      </c>
      <c r="M14" t="s">
        <v>26</v>
      </c>
    </row>
    <row r="15" spans="2:13">
      <c r="B15">
        <v>20003</v>
      </c>
      <c r="C15" t="str">
        <f t="shared" ref="C15:C36" si="5">"enemy_name_"&amp;B15</f>
        <v>enemy_name_20003</v>
      </c>
      <c r="D15" t="str">
        <f t="shared" si="4"/>
        <v>enemy_desc_20003</v>
      </c>
      <c r="E15" t="s">
        <v>22</v>
      </c>
      <c r="F15" t="s">
        <v>10</v>
      </c>
      <c r="G15">
        <v>1</v>
      </c>
      <c r="H15">
        <v>1</v>
      </c>
      <c r="I15">
        <f t="shared" si="2"/>
        <v>750</v>
      </c>
      <c r="J15">
        <v>0.4</v>
      </c>
      <c r="K15">
        <v>0</v>
      </c>
      <c r="L15">
        <f t="shared" si="3"/>
        <v>20</v>
      </c>
      <c r="M15" t="s">
        <v>27</v>
      </c>
    </row>
    <row r="16" spans="2:13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11</v>
      </c>
      <c r="G16">
        <v>1</v>
      </c>
      <c r="H16">
        <v>1</v>
      </c>
      <c r="I16">
        <f t="shared" si="2"/>
        <v>375</v>
      </c>
      <c r="J16">
        <v>0.8</v>
      </c>
      <c r="K16">
        <v>0</v>
      </c>
      <c r="L16">
        <f t="shared" si="3"/>
        <v>20</v>
      </c>
      <c r="M16" t="s">
        <v>28</v>
      </c>
    </row>
    <row r="17" spans="2:13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10</v>
      </c>
      <c r="G17">
        <v>1.2</v>
      </c>
      <c r="H17">
        <v>1</v>
      </c>
      <c r="I17">
        <f t="shared" si="2"/>
        <v>1029</v>
      </c>
      <c r="J17">
        <v>0.35</v>
      </c>
      <c r="K17">
        <v>0</v>
      </c>
      <c r="L17">
        <f t="shared" si="3"/>
        <v>24</v>
      </c>
      <c r="M17" t="s">
        <v>29</v>
      </c>
    </row>
    <row r="18" spans="2:13">
      <c r="B18">
        <v>10012</v>
      </c>
      <c r="C18" t="str">
        <f t="shared" si="5"/>
        <v>enemy_name_10012</v>
      </c>
      <c r="D18" t="str">
        <f t="shared" si="4"/>
        <v>enemy_desc_10012</v>
      </c>
      <c r="E18" t="s">
        <v>31</v>
      </c>
      <c r="F18" t="s">
        <v>11</v>
      </c>
      <c r="G18">
        <v>0.5</v>
      </c>
      <c r="H18">
        <v>1</v>
      </c>
      <c r="I18">
        <f t="shared" si="2"/>
        <v>150</v>
      </c>
      <c r="J18">
        <v>0.5</v>
      </c>
      <c r="K18">
        <v>0</v>
      </c>
      <c r="L18">
        <f t="shared" si="3"/>
        <v>10</v>
      </c>
    </row>
    <row r="19" spans="2:13">
      <c r="B19">
        <v>10013</v>
      </c>
      <c r="C19" t="str">
        <f t="shared" si="5"/>
        <v>enemy_name_10013</v>
      </c>
      <c r="D19" t="str">
        <f t="shared" si="4"/>
        <v>enemy_desc_10013</v>
      </c>
      <c r="E19" t="s">
        <v>32</v>
      </c>
      <c r="F19" t="s">
        <v>10</v>
      </c>
      <c r="G19">
        <v>0.6</v>
      </c>
      <c r="H19">
        <v>1</v>
      </c>
      <c r="I19">
        <f t="shared" si="2"/>
        <v>150</v>
      </c>
      <c r="J19">
        <v>0.6</v>
      </c>
      <c r="K19">
        <v>0</v>
      </c>
      <c r="L19">
        <f t="shared" si="3"/>
        <v>12</v>
      </c>
    </row>
    <row r="20" spans="2:13">
      <c r="B20">
        <v>10014</v>
      </c>
      <c r="C20" t="str">
        <f t="shared" si="5"/>
        <v>enemy_name_10014</v>
      </c>
      <c r="D20" t="str">
        <f t="shared" si="4"/>
        <v>enemy_desc_10014</v>
      </c>
      <c r="E20" t="s">
        <v>33</v>
      </c>
      <c r="F20" t="s">
        <v>11</v>
      </c>
      <c r="G20">
        <v>0.6</v>
      </c>
      <c r="H20">
        <v>1</v>
      </c>
      <c r="I20">
        <f t="shared" si="2"/>
        <v>164</v>
      </c>
      <c r="J20">
        <v>0.55000000000000004</v>
      </c>
      <c r="K20">
        <v>0</v>
      </c>
      <c r="L20">
        <f t="shared" si="3"/>
        <v>12</v>
      </c>
    </row>
    <row r="21" spans="2:13">
      <c r="B21">
        <v>10015</v>
      </c>
      <c r="C21" t="str">
        <f t="shared" si="5"/>
        <v>enemy_name_10015</v>
      </c>
      <c r="D21" t="str">
        <f t="shared" si="4"/>
        <v>enemy_desc_10015</v>
      </c>
      <c r="E21" t="s">
        <v>34</v>
      </c>
      <c r="F21" t="s">
        <v>12</v>
      </c>
      <c r="G21">
        <v>0.55000000000000004</v>
      </c>
      <c r="H21">
        <v>1</v>
      </c>
      <c r="I21">
        <f t="shared" si="2"/>
        <v>165</v>
      </c>
      <c r="J21">
        <v>0.5</v>
      </c>
      <c r="K21">
        <v>0</v>
      </c>
      <c r="L21">
        <f t="shared" si="3"/>
        <v>11</v>
      </c>
    </row>
    <row r="22" spans="2:13">
      <c r="B22">
        <v>20006</v>
      </c>
      <c r="C22" t="str">
        <f t="shared" si="5"/>
        <v>enemy_name_20006</v>
      </c>
      <c r="D22" t="str">
        <f t="shared" si="4"/>
        <v>enemy_desc_20006</v>
      </c>
      <c r="E22" t="s">
        <v>32</v>
      </c>
      <c r="F22" t="s">
        <v>10</v>
      </c>
      <c r="G22">
        <v>1</v>
      </c>
      <c r="H22">
        <v>1</v>
      </c>
      <c r="I22">
        <f t="shared" si="2"/>
        <v>750</v>
      </c>
      <c r="J22">
        <v>0.4</v>
      </c>
      <c r="K22">
        <v>0</v>
      </c>
      <c r="L22">
        <f t="shared" si="3"/>
        <v>20</v>
      </c>
    </row>
    <row r="23" spans="2:13">
      <c r="B23">
        <v>20007</v>
      </c>
      <c r="C23" t="str">
        <f t="shared" si="5"/>
        <v>enemy_name_20007</v>
      </c>
      <c r="D23" t="str">
        <f t="shared" si="4"/>
        <v>enemy_desc_20007</v>
      </c>
      <c r="E23" t="s">
        <v>33</v>
      </c>
      <c r="F23" t="s">
        <v>11</v>
      </c>
      <c r="G23">
        <v>1</v>
      </c>
      <c r="H23">
        <v>1</v>
      </c>
      <c r="I23">
        <f t="shared" si="2"/>
        <v>600</v>
      </c>
      <c r="J23">
        <v>0.5</v>
      </c>
      <c r="K23">
        <v>0</v>
      </c>
      <c r="L23">
        <f t="shared" si="3"/>
        <v>20</v>
      </c>
    </row>
    <row r="24" spans="2:13">
      <c r="B24">
        <v>20008</v>
      </c>
      <c r="C24" t="str">
        <f t="shared" si="5"/>
        <v>enemy_name_20008</v>
      </c>
      <c r="D24" t="str">
        <f t="shared" si="4"/>
        <v>enemy_desc_20008</v>
      </c>
      <c r="E24" t="s">
        <v>34</v>
      </c>
      <c r="F24" t="s">
        <v>12</v>
      </c>
      <c r="G24">
        <v>1</v>
      </c>
      <c r="H24">
        <v>1</v>
      </c>
      <c r="I24">
        <f t="shared" si="2"/>
        <v>667</v>
      </c>
      <c r="J24">
        <v>0.45</v>
      </c>
      <c r="K24">
        <v>0</v>
      </c>
      <c r="L24">
        <f t="shared" si="3"/>
        <v>20</v>
      </c>
    </row>
    <row r="25" spans="2:13">
      <c r="B25">
        <v>20009</v>
      </c>
      <c r="C25" t="str">
        <f t="shared" si="5"/>
        <v>enemy_name_20009</v>
      </c>
      <c r="D25" t="str">
        <f t="shared" si="4"/>
        <v>enemy_desc_20009</v>
      </c>
      <c r="E25" t="s">
        <v>35</v>
      </c>
      <c r="F25" t="s">
        <v>12</v>
      </c>
      <c r="G25">
        <v>1.33</v>
      </c>
      <c r="H25">
        <v>1</v>
      </c>
      <c r="I25">
        <f t="shared" si="2"/>
        <v>798</v>
      </c>
      <c r="J25">
        <v>0.5</v>
      </c>
      <c r="K25">
        <v>0</v>
      </c>
      <c r="L25">
        <f t="shared" si="3"/>
        <v>27</v>
      </c>
    </row>
    <row r="26" spans="2:13">
      <c r="B26">
        <v>10016</v>
      </c>
      <c r="C26" t="str">
        <f t="shared" si="5"/>
        <v>enemy_name_10016</v>
      </c>
      <c r="D26" t="str">
        <f t="shared" si="4"/>
        <v>enemy_desc_10016</v>
      </c>
      <c r="E26" t="s">
        <v>63</v>
      </c>
      <c r="F26" t="s">
        <v>10</v>
      </c>
      <c r="G26">
        <v>0.3</v>
      </c>
      <c r="H26">
        <v>1</v>
      </c>
      <c r="I26">
        <f t="shared" si="2"/>
        <v>90</v>
      </c>
      <c r="J26">
        <v>0.5</v>
      </c>
      <c r="K26">
        <v>0</v>
      </c>
      <c r="L26">
        <f t="shared" si="3"/>
        <v>6</v>
      </c>
    </row>
    <row r="27" spans="2:13">
      <c r="B27">
        <v>10017</v>
      </c>
      <c r="C27" t="str">
        <f t="shared" si="5"/>
        <v>enemy_name_10017</v>
      </c>
      <c r="D27" t="str">
        <f t="shared" si="4"/>
        <v>enemy_desc_10017</v>
      </c>
      <c r="E27" t="s">
        <v>64</v>
      </c>
      <c r="F27" t="s">
        <v>12</v>
      </c>
      <c r="G27">
        <v>0.6</v>
      </c>
      <c r="H27">
        <v>1</v>
      </c>
      <c r="I27">
        <f t="shared" si="2"/>
        <v>113</v>
      </c>
      <c r="J27">
        <v>0.8</v>
      </c>
      <c r="K27">
        <v>0</v>
      </c>
      <c r="L27">
        <f t="shared" si="3"/>
        <v>12</v>
      </c>
    </row>
    <row r="28" spans="2:13">
      <c r="B28">
        <v>10018</v>
      </c>
      <c r="C28" t="str">
        <f t="shared" si="5"/>
        <v>enemy_name_10018</v>
      </c>
      <c r="D28" t="str">
        <f t="shared" si="4"/>
        <v>enemy_desc_10018</v>
      </c>
      <c r="E28" t="s">
        <v>65</v>
      </c>
      <c r="F28" t="s">
        <v>10</v>
      </c>
      <c r="G28">
        <v>0.5</v>
      </c>
      <c r="H28">
        <v>1</v>
      </c>
      <c r="I28">
        <f t="shared" si="2"/>
        <v>107</v>
      </c>
      <c r="J28">
        <v>0.7</v>
      </c>
      <c r="K28">
        <v>0</v>
      </c>
      <c r="L28">
        <f t="shared" si="3"/>
        <v>10</v>
      </c>
    </row>
    <row r="29" spans="2:13">
      <c r="B29">
        <v>10019</v>
      </c>
      <c r="C29" t="str">
        <f t="shared" si="5"/>
        <v>enemy_name_10019</v>
      </c>
      <c r="D29" t="str">
        <f t="shared" si="4"/>
        <v>enemy_desc_10019</v>
      </c>
      <c r="E29" t="s">
        <v>66</v>
      </c>
      <c r="F29" t="s">
        <v>11</v>
      </c>
      <c r="G29">
        <v>0.75</v>
      </c>
      <c r="H29">
        <v>1</v>
      </c>
      <c r="I29">
        <f t="shared" si="2"/>
        <v>141</v>
      </c>
      <c r="J29">
        <v>0.8</v>
      </c>
      <c r="K29">
        <v>0</v>
      </c>
      <c r="L29">
        <f t="shared" si="3"/>
        <v>15</v>
      </c>
    </row>
    <row r="30" spans="2:13">
      <c r="B30">
        <v>10020</v>
      </c>
      <c r="C30" t="str">
        <f t="shared" si="5"/>
        <v>enemy_name_10020</v>
      </c>
      <c r="D30" t="str">
        <f t="shared" si="4"/>
        <v>enemy_desc_10020</v>
      </c>
      <c r="E30" t="s">
        <v>68</v>
      </c>
      <c r="F30" t="s">
        <v>12</v>
      </c>
      <c r="G30">
        <v>0.8</v>
      </c>
      <c r="H30">
        <v>1</v>
      </c>
      <c r="I30">
        <f t="shared" si="2"/>
        <v>200</v>
      </c>
      <c r="J30">
        <v>0.6</v>
      </c>
      <c r="K30">
        <v>0</v>
      </c>
      <c r="L30">
        <f t="shared" si="3"/>
        <v>16</v>
      </c>
    </row>
    <row r="31" spans="2:13">
      <c r="B31">
        <v>10021</v>
      </c>
      <c r="C31" t="str">
        <f t="shared" si="5"/>
        <v>enemy_name_10021</v>
      </c>
      <c r="D31" t="str">
        <f t="shared" si="4"/>
        <v>enemy_desc_10021</v>
      </c>
      <c r="E31" t="s">
        <v>67</v>
      </c>
      <c r="F31" t="s">
        <v>12</v>
      </c>
      <c r="G31">
        <v>0.9</v>
      </c>
      <c r="H31">
        <v>1</v>
      </c>
      <c r="I31">
        <f t="shared" si="2"/>
        <v>180</v>
      </c>
      <c r="J31">
        <v>0.75</v>
      </c>
      <c r="K31">
        <v>0</v>
      </c>
      <c r="L31">
        <f t="shared" si="3"/>
        <v>18</v>
      </c>
    </row>
    <row r="32" spans="2:13">
      <c r="B32">
        <v>20010</v>
      </c>
      <c r="C32" t="str">
        <f t="shared" si="5"/>
        <v>enemy_name_20010</v>
      </c>
      <c r="D32" t="str">
        <f t="shared" si="4"/>
        <v>enemy_desc_20010</v>
      </c>
      <c r="E32" t="s">
        <v>63</v>
      </c>
      <c r="F32" t="s">
        <v>10</v>
      </c>
      <c r="G32">
        <v>1</v>
      </c>
      <c r="H32">
        <v>1</v>
      </c>
      <c r="I32">
        <f t="shared" si="2"/>
        <v>600</v>
      </c>
      <c r="J32">
        <v>0.5</v>
      </c>
      <c r="K32">
        <v>0</v>
      </c>
      <c r="L32">
        <f t="shared" si="3"/>
        <v>20</v>
      </c>
    </row>
    <row r="33" spans="2:12">
      <c r="B33">
        <v>20011</v>
      </c>
      <c r="C33" t="str">
        <f t="shared" si="5"/>
        <v>enemy_name_20011</v>
      </c>
      <c r="D33" t="str">
        <f t="shared" si="4"/>
        <v>enemy_desc_20011</v>
      </c>
      <c r="E33" t="s">
        <v>64</v>
      </c>
      <c r="F33" t="s">
        <v>12</v>
      </c>
      <c r="G33">
        <v>1</v>
      </c>
      <c r="H33">
        <v>1</v>
      </c>
      <c r="I33">
        <f t="shared" si="2"/>
        <v>462</v>
      </c>
      <c r="J33">
        <v>0.65</v>
      </c>
      <c r="K33">
        <v>0</v>
      </c>
      <c r="L33">
        <f t="shared" si="3"/>
        <v>20</v>
      </c>
    </row>
    <row r="34" spans="2:12">
      <c r="B34">
        <v>20012</v>
      </c>
      <c r="C34" t="str">
        <f t="shared" si="5"/>
        <v>enemy_name_20012</v>
      </c>
      <c r="D34" t="str">
        <f t="shared" si="4"/>
        <v>enemy_desc_20012</v>
      </c>
      <c r="E34" t="s">
        <v>65</v>
      </c>
      <c r="F34" t="s">
        <v>10</v>
      </c>
      <c r="G34">
        <v>1</v>
      </c>
      <c r="H34">
        <v>1</v>
      </c>
      <c r="I34">
        <f t="shared" si="2"/>
        <v>545</v>
      </c>
      <c r="J34">
        <v>0.55000000000000004</v>
      </c>
      <c r="K34">
        <v>0</v>
      </c>
      <c r="L34">
        <f t="shared" si="3"/>
        <v>20</v>
      </c>
    </row>
    <row r="35" spans="2:12">
      <c r="B35">
        <v>20013</v>
      </c>
      <c r="C35" t="str">
        <f t="shared" si="5"/>
        <v>enemy_name_20013</v>
      </c>
      <c r="D35" t="str">
        <f t="shared" si="4"/>
        <v>enemy_desc_20013</v>
      </c>
      <c r="E35" t="s">
        <v>66</v>
      </c>
      <c r="F35" t="s">
        <v>11</v>
      </c>
      <c r="G35">
        <v>1</v>
      </c>
      <c r="H35">
        <v>1</v>
      </c>
      <c r="I35">
        <f t="shared" si="2"/>
        <v>462</v>
      </c>
      <c r="J35">
        <v>0.65</v>
      </c>
      <c r="K35">
        <v>0</v>
      </c>
      <c r="L35">
        <f t="shared" si="3"/>
        <v>20</v>
      </c>
    </row>
    <row r="36" spans="2:12">
      <c r="B36">
        <v>20014</v>
      </c>
      <c r="C36" t="str">
        <f t="shared" si="5"/>
        <v>enemy_name_20014</v>
      </c>
      <c r="D36" t="str">
        <f t="shared" si="4"/>
        <v>enemy_desc_20014</v>
      </c>
      <c r="E36" t="s">
        <v>68</v>
      </c>
      <c r="F36" t="s">
        <v>12</v>
      </c>
      <c r="G36">
        <v>1.05</v>
      </c>
      <c r="H36">
        <v>1</v>
      </c>
      <c r="I36">
        <f t="shared" si="2"/>
        <v>573</v>
      </c>
      <c r="J36">
        <v>0.55000000000000004</v>
      </c>
      <c r="K36">
        <v>0</v>
      </c>
      <c r="L36">
        <f t="shared" si="3"/>
        <v>21</v>
      </c>
    </row>
    <row r="37" spans="2:12">
      <c r="B37">
        <v>20015</v>
      </c>
      <c r="C37" t="str">
        <f t="shared" ref="C37:C38" si="6">"enemy_name_"&amp;B37</f>
        <v>enemy_name_20015</v>
      </c>
      <c r="D37" t="str">
        <f t="shared" ref="D37:D38" si="7">"enemy_desc_"&amp;B37</f>
        <v>enemy_desc_20015</v>
      </c>
      <c r="E37" t="s">
        <v>67</v>
      </c>
      <c r="F37" t="s">
        <v>12</v>
      </c>
      <c r="G37">
        <v>1.1000000000000001</v>
      </c>
      <c r="H37">
        <v>1</v>
      </c>
      <c r="I37">
        <f t="shared" si="2"/>
        <v>471</v>
      </c>
      <c r="J37">
        <v>0.7</v>
      </c>
      <c r="K37">
        <v>0</v>
      </c>
      <c r="L37">
        <f t="shared" si="3"/>
        <v>22</v>
      </c>
    </row>
    <row r="38" spans="2:12">
      <c r="B38">
        <v>20016</v>
      </c>
      <c r="C38" t="str">
        <f t="shared" si="6"/>
        <v>enemy_name_20016</v>
      </c>
      <c r="D38" t="str">
        <f t="shared" si="7"/>
        <v>enemy_desc_20016</v>
      </c>
      <c r="E38" t="s">
        <v>69</v>
      </c>
      <c r="F38" t="s">
        <v>10</v>
      </c>
      <c r="G38">
        <v>1.4</v>
      </c>
      <c r="H38">
        <v>1</v>
      </c>
      <c r="I38">
        <f t="shared" si="2"/>
        <v>840</v>
      </c>
      <c r="J38">
        <v>0.5</v>
      </c>
      <c r="K38">
        <v>0</v>
      </c>
      <c r="L38">
        <f t="shared" si="3"/>
        <v>28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E13" sqref="E13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61</v>
      </c>
      <c r="C12" s="15" t="s">
        <v>43</v>
      </c>
      <c r="D12" s="16"/>
      <c r="E12" s="20" t="s">
        <v>62</v>
      </c>
      <c r="F12" s="15"/>
    </row>
    <row r="13" spans="2:6">
      <c r="B13" s="4" t="s">
        <v>7</v>
      </c>
      <c r="C13" s="17" t="s">
        <v>58</v>
      </c>
      <c r="D13" s="17"/>
      <c r="E13" s="17" t="s">
        <v>59</v>
      </c>
      <c r="F13" s="17"/>
    </row>
    <row r="14" spans="2:6" ht="34.799999999999997">
      <c r="B14" s="4" t="s">
        <v>8</v>
      </c>
      <c r="C14" s="17" t="s">
        <v>44</v>
      </c>
      <c r="D14" s="17"/>
      <c r="E14" s="21" t="s">
        <v>60</v>
      </c>
      <c r="F14" s="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2022-05-29T05:37:34Z</dcterms:modified>
</cp:coreProperties>
</file>