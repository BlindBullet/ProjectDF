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00580397-F18F-4BA2-B2E9-B19D8628D591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5" i="2" l="1"/>
  <c r="L25" i="2"/>
  <c r="C25" i="2"/>
  <c r="D25" i="2"/>
  <c r="I24" i="2"/>
  <c r="I23" i="2"/>
  <c r="I22" i="2"/>
  <c r="L24" i="2"/>
  <c r="L23" i="2"/>
  <c r="L22" i="2"/>
  <c r="C24" i="2"/>
  <c r="D24" i="2"/>
  <c r="C23" i="2"/>
  <c r="D23" i="2"/>
  <c r="C22" i="2"/>
  <c r="D22" i="2"/>
  <c r="I21" i="2"/>
  <c r="L21" i="2"/>
  <c r="C21" i="2"/>
  <c r="D21" i="2"/>
  <c r="I20" i="2"/>
  <c r="L20" i="2"/>
  <c r="C20" i="2"/>
  <c r="D20" i="2"/>
  <c r="I19" i="2"/>
  <c r="L19" i="2"/>
  <c r="D19" i="2"/>
  <c r="C19" i="2"/>
  <c r="I18" i="2"/>
  <c r="L18" i="2"/>
  <c r="C18" i="2"/>
  <c r="D18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2" i="2"/>
  <c r="L12" i="2"/>
  <c r="C12" i="2"/>
  <c r="D12" i="2"/>
  <c r="L3" i="2"/>
  <c r="L4" i="2"/>
  <c r="L5" i="2"/>
  <c r="L6" i="2"/>
  <c r="L7" i="2"/>
  <c r="L8" i="2"/>
  <c r="L9" i="2"/>
  <c r="L10" i="2"/>
  <c r="L11" i="2"/>
  <c r="L13" i="2"/>
  <c r="L14" i="2"/>
  <c r="L15" i="2"/>
  <c r="L16" i="2"/>
  <c r="L17" i="2"/>
  <c r="L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<sst xmlns="http://schemas.openxmlformats.org/spreadsheetml/2006/main" count="116" uniqueCount="63">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</sst>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25"/>
  <sheetViews>
    <sheetView tabSelected="1" workbookViewId="0">
      <selection activeCell="J18" sqref="J18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  <col min="13" max="13" width="16.5" bestFit="1" customWidth="1"/>
  </cols>
  <sheetData>
    <row r="1" spans="2:13" ht="33.75" customHeight="1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61</v>
      </c>
      <c r="L1" t="s">
        <v>7</v>
      </c>
      <c r="M1" t="s">
        <v>8</v>
      </c>
    </row>
    <row r="2" spans="2:13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ROUND(IF(LEFT(B2,1)="2", 300, 150)*(1/J2)*G2,0)</f>
        <v>56</v>
      </c>
      <c r="J2">
        <v>0.8</v>
      </c>
      <c r="K2">
        <v>0</v>
      </c>
      <c r="L2">
        <f>ROUND(G2*20, 0)</f>
        <v>6</v>
      </c>
    </row>
    <row r="3" spans="2:13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 t="shared" ref="I3:I25" si="2">ROUND(IF(LEFT(B3,1)="2", 300, 150)*(1/J3)*G3,0)</f>
        <v>150</v>
      </c>
      <c r="J3">
        <v>0.5</v>
      </c>
      <c r="K3">
        <v>0</v>
      </c>
      <c r="L3">
        <f t="shared" ref="L3:L25" si="3">ROUND(G3*20, 0)</f>
        <v>10</v>
      </c>
    </row>
    <row r="4" spans="2:13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si="2"/>
        <v>125</v>
      </c>
      <c r="J4">
        <v>0.6</v>
      </c>
      <c r="K4">
        <v>0</v>
      </c>
      <c r="L4">
        <f t="shared" si="3"/>
        <v>10</v>
      </c>
      <c r="M4" t="s">
        <v>17</v>
      </c>
    </row>
    <row r="5" spans="2:13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180</v>
      </c>
      <c r="J5">
        <v>0.5</v>
      </c>
      <c r="K5">
        <v>0</v>
      </c>
      <c r="L5">
        <f t="shared" si="3"/>
        <v>12</v>
      </c>
      <c r="M5" t="s">
        <v>18</v>
      </c>
    </row>
    <row r="6" spans="2:13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 t="shared" si="2"/>
        <v>150</v>
      </c>
      <c r="J6">
        <v>0.4</v>
      </c>
      <c r="K6">
        <v>0</v>
      </c>
      <c r="L6">
        <f t="shared" si="3"/>
        <v>8</v>
      </c>
      <c r="M6" t="s">
        <v>21</v>
      </c>
    </row>
    <row r="7" spans="2:13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150</v>
      </c>
      <c r="J7">
        <v>0.4</v>
      </c>
      <c r="K7">
        <v>0</v>
      </c>
      <c r="L7">
        <f t="shared" si="3"/>
        <v>8</v>
      </c>
      <c r="M7" t="s">
        <v>20</v>
      </c>
    </row>
    <row r="8" spans="2:13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 t="shared" si="2"/>
        <v>120</v>
      </c>
      <c r="J8">
        <v>0.5</v>
      </c>
      <c r="K8">
        <v>0</v>
      </c>
      <c r="L8">
        <f t="shared" si="3"/>
        <v>8</v>
      </c>
    </row>
    <row r="9" spans="2:13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75</v>
      </c>
      <c r="J9">
        <v>1</v>
      </c>
      <c r="K9">
        <v>0</v>
      </c>
      <c r="L9">
        <f t="shared" si="3"/>
        <v>10</v>
      </c>
    </row>
    <row r="10" spans="2:13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 t="shared" si="2"/>
        <v>44</v>
      </c>
      <c r="J10">
        <v>1.2</v>
      </c>
      <c r="K10">
        <v>0</v>
      </c>
      <c r="L10">
        <f t="shared" si="3"/>
        <v>7</v>
      </c>
    </row>
    <row r="11" spans="2:13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 t="shared" si="2"/>
        <v>150</v>
      </c>
      <c r="J11">
        <v>0.4</v>
      </c>
      <c r="K11">
        <v>0</v>
      </c>
      <c r="L11">
        <f t="shared" si="3"/>
        <v>8</v>
      </c>
    </row>
    <row r="12" spans="2:13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12</v>
      </c>
      <c r="G12">
        <v>0.6</v>
      </c>
      <c r="H12">
        <v>1</v>
      </c>
      <c r="I12">
        <f t="shared" si="2"/>
        <v>257</v>
      </c>
      <c r="J12">
        <v>0.35</v>
      </c>
      <c r="K12">
        <v>0</v>
      </c>
      <c r="L12">
        <f t="shared" si="3"/>
        <v>12</v>
      </c>
      <c r="M12" t="s">
        <v>30</v>
      </c>
    </row>
    <row r="13" spans="2:13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12</v>
      </c>
      <c r="G13">
        <v>1</v>
      </c>
      <c r="H13">
        <v>1</v>
      </c>
      <c r="I13">
        <f t="shared" si="2"/>
        <v>750</v>
      </c>
      <c r="J13">
        <v>0.4</v>
      </c>
      <c r="K13">
        <v>0</v>
      </c>
      <c r="L13">
        <f t="shared" si="3"/>
        <v>20</v>
      </c>
      <c r="M13" t="s">
        <v>25</v>
      </c>
    </row>
    <row r="14" spans="2:13">
      <c r="B14">
        <v>20002</v>
      </c>
      <c r="C14" t="str">
        <f>"enemy_name_"&amp;B14</f>
        <v>enemy_name_20002</v>
      </c>
      <c r="D14" t="str">
        <f t="shared" ref="D14:D25" si="4">"enemy_desc_"&amp;B14</f>
        <v>enemy_desc_20002</v>
      </c>
      <c r="E14" t="s">
        <v>21</v>
      </c>
      <c r="F14" t="s">
        <v>11</v>
      </c>
      <c r="G14">
        <v>1</v>
      </c>
      <c r="H14">
        <v>1</v>
      </c>
      <c r="I14">
        <f t="shared" si="2"/>
        <v>750</v>
      </c>
      <c r="J14">
        <v>0.4</v>
      </c>
      <c r="K14">
        <v>0</v>
      </c>
      <c r="L14">
        <f t="shared" si="3"/>
        <v>20</v>
      </c>
      <c r="M14" t="s">
        <v>26</v>
      </c>
    </row>
    <row r="15" spans="2:13">
      <c r="B15">
        <v>20003</v>
      </c>
      <c r="C15" t="str">
        <f t="shared" ref="C15:C25" si="5">"enemy_name_"&amp;B15</f>
        <v>enemy_name_20003</v>
      </c>
      <c r="D15" t="str">
        <f t="shared" si="4"/>
        <v>enemy_desc_20003</v>
      </c>
      <c r="E15" t="s">
        <v>22</v>
      </c>
      <c r="F15" t="s">
        <v>10</v>
      </c>
      <c r="G15">
        <v>1</v>
      </c>
      <c r="H15">
        <v>1</v>
      </c>
      <c r="I15">
        <f t="shared" si="2"/>
        <v>750</v>
      </c>
      <c r="J15">
        <v>0.4</v>
      </c>
      <c r="K15">
        <v>0</v>
      </c>
      <c r="L15">
        <f t="shared" si="3"/>
        <v>20</v>
      </c>
      <c r="M15" t="s">
        <v>27</v>
      </c>
    </row>
    <row r="16" spans="2:13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11</v>
      </c>
      <c r="G16">
        <v>1</v>
      </c>
      <c r="H16">
        <v>1</v>
      </c>
      <c r="I16">
        <f t="shared" si="2"/>
        <v>375</v>
      </c>
      <c r="J16">
        <v>0.8</v>
      </c>
      <c r="K16">
        <v>0</v>
      </c>
      <c r="L16">
        <f t="shared" si="3"/>
        <v>20</v>
      </c>
      <c r="M16" t="s">
        <v>28</v>
      </c>
    </row>
    <row r="17" spans="2:13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10</v>
      </c>
      <c r="G17">
        <v>1.2</v>
      </c>
      <c r="H17">
        <v>1</v>
      </c>
      <c r="I17">
        <f t="shared" si="2"/>
        <v>1029</v>
      </c>
      <c r="J17">
        <v>0.35</v>
      </c>
      <c r="K17">
        <v>0</v>
      </c>
      <c r="L17">
        <f t="shared" si="3"/>
        <v>24</v>
      </c>
      <c r="M17" t="s">
        <v>29</v>
      </c>
    </row>
    <row r="18" spans="2:13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">
        <v>11</v>
      </c>
      <c r="G18">
        <v>0.5</v>
      </c>
      <c r="H18">
        <v>1</v>
      </c>
      <c r="I18">
        <f t="shared" si="2"/>
        <v>150</v>
      </c>
      <c r="J18">
        <v>0.5</v>
      </c>
      <c r="K18">
        <v>0</v>
      </c>
      <c r="L18">
        <f t="shared" si="3"/>
        <v>10</v>
      </c>
    </row>
    <row r="19" spans="2:13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10</v>
      </c>
      <c r="G19">
        <v>0.6</v>
      </c>
      <c r="H19">
        <v>1</v>
      </c>
      <c r="I19">
        <f t="shared" si="2"/>
        <v>150</v>
      </c>
      <c r="J19">
        <v>0.6</v>
      </c>
      <c r="K19">
        <v>0</v>
      </c>
      <c r="L19">
        <f t="shared" si="3"/>
        <v>12</v>
      </c>
    </row>
    <row r="20" spans="2:13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">
        <v>11</v>
      </c>
      <c r="G20">
        <v>0.6</v>
      </c>
      <c r="H20">
        <v>1</v>
      </c>
      <c r="I20">
        <f t="shared" si="2"/>
        <v>164</v>
      </c>
      <c r="J20">
        <v>0.55000000000000004</v>
      </c>
      <c r="K20">
        <v>0</v>
      </c>
      <c r="L20">
        <f t="shared" si="3"/>
        <v>12</v>
      </c>
    </row>
    <row r="21" spans="2:13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12</v>
      </c>
      <c r="G21">
        <v>0.55000000000000004</v>
      </c>
      <c r="H21">
        <v>1</v>
      </c>
      <c r="I21">
        <f t="shared" si="2"/>
        <v>165</v>
      </c>
      <c r="J21">
        <v>0.5</v>
      </c>
      <c r="K21">
        <v>0</v>
      </c>
      <c r="L21">
        <f t="shared" si="3"/>
        <v>11</v>
      </c>
    </row>
    <row r="22" spans="2:13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10</v>
      </c>
      <c r="G22">
        <v>1</v>
      </c>
      <c r="H22">
        <v>1</v>
      </c>
      <c r="I22">
        <f t="shared" si="2"/>
        <v>750</v>
      </c>
      <c r="J22">
        <v>0.4</v>
      </c>
      <c r="K22">
        <v>0</v>
      </c>
      <c r="L22">
        <f t="shared" si="3"/>
        <v>20</v>
      </c>
    </row>
    <row r="23" spans="2:13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11</v>
      </c>
      <c r="G23">
        <v>1</v>
      </c>
      <c r="H23">
        <v>1</v>
      </c>
      <c r="I23">
        <f t="shared" si="2"/>
        <v>600</v>
      </c>
      <c r="J23">
        <v>0.5</v>
      </c>
      <c r="K23">
        <v>0</v>
      </c>
      <c r="L23">
        <f t="shared" si="3"/>
        <v>20</v>
      </c>
    </row>
    <row r="24" spans="2:13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12</v>
      </c>
      <c r="G24">
        <v>1</v>
      </c>
      <c r="H24">
        <v>1</v>
      </c>
      <c r="I24">
        <f t="shared" si="2"/>
        <v>667</v>
      </c>
      <c r="J24">
        <v>0.45</v>
      </c>
      <c r="K24">
        <v>0</v>
      </c>
      <c r="L24">
        <f t="shared" si="3"/>
        <v>20</v>
      </c>
    </row>
    <row r="25" spans="2:13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12</v>
      </c>
      <c r="G25">
        <v>1.33</v>
      </c>
      <c r="H25">
        <v>1</v>
      </c>
      <c r="I25">
        <f t="shared" si="2"/>
        <v>798</v>
      </c>
      <c r="J25">
        <v>0.5</v>
      </c>
      <c r="K25">
        <v>0</v>
      </c>
      <c r="L25">
        <f t="shared" si="3"/>
        <v>27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2022-05-28T15:09:59Z</dcterms:modified>
</cp:coreProperties>
</file>