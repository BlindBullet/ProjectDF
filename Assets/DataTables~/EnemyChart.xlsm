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0778A5C-9BAE-436F-AE53-CDC59AF72AF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2" l="1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<sst xmlns="http://schemas.openxmlformats.org/spreadsheetml/2006/main" count="437" uniqueCount="177">
  <si>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</si>
  <si>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</si>
  <si>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</si>
  <si>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</si>
  <si>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</si>
  <si>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</si>
  <si>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</si>
  <si>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</si>
  <si>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</si>
  <si>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</si>
  <si>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</si>
  <si>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</si>
  <si>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</si>
  <si>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</si>
  <si>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</si>
  <si>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</si>
  <si>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</si>
  <si>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</si>
  <si>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</si>
  <si>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</si>
  <si>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</si>
  <si>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</si>
  <si>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</si>
  <si>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</si>
  <si>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</si>
  <si>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</si>
  <si>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</si>
  <si>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</si>
  <si>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</si>
  <si>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</si>
  <si>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</si>
  <si>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</si>
  <si>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</si>
  <si>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</si>
  <si>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</si>
  <si>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</si>
  <si>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</si>
  <si>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</si>
  <si>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</si>
  <si>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</si>
  <si>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</si>
  <si>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</si>
  <si>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</si>
  <si>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</si>
  <si>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</si>
  <si>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</si>
  <si>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</si>
  <si>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</si>
  <si>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</si>
  <si>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</si>
  <si>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</si>
  <si>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</si>
  <si>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</si>
  <si>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</si>
  <si>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</si>
  <si>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</si>
  <si>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</si>
  <si>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</si>
  <si>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</si>
  <si>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</si>
  <si>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</si>
  <si>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</si>
  <si>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</si>
  <si>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</si>
  <si>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</si>
  <si>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</si>
  <si>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</si>
  <si>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</si>
  <si>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</si>
  <si>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</si>
  <si>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</si>
  <si>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</si>
  <si>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</si>
  <si>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</si>
  <si>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</si>
  <si>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</si>
  <si>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</si>
  <si>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</si>
  <si>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</si>
  <si>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</si>
  <si>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</si>
  <si>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</si>
  <si>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</si>
  <si>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</si>
  <si>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</si>
  <si>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</si>
  <si>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</si>
  <si>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</si>
  <si>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</si>
  <si>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</si>
  <si>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</si>
  <si>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</si>
  <si>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</si>
  <si>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</si>
  <si>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</si>
  <si>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</si>
  <si>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</si>
  <si>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</si>
  <si>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</si>
  <si>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</si>
  <si>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</si>
  <si>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</si>
  <si>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</si>
  <si>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</si>
  <si>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</si>
  <si>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</si>
  <si>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</si>
  <si>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</si>
  <si>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</si>
  <si>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</si>
  <si>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</si>
  <si>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</si>
  <si>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</si>
  <si>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</si>
  <si>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</si>
  <si>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</si>
  <si>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</si>
  <si>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</si>
  <si>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</si>
  <si>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</si>
  <si>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</si>
  <si>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</si>
  <si>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</si>
  <si>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</si>
  <si>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</si>
  <si>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</si>
  <si>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</si>
  <si>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</si>
  <si>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</si>
  <si>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</si>
  <si>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</si>
  <si>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</si>
  <si>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</si>
  <si>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</si>
  <si>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</si>
  <si>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</si>
  <si>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</si>
  <si>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</si>
  <si>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</si>
  <si>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</si>
  <si>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</si>
  <si>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</si>
  <si>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</si>
  <si>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</si>
  <si>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</si>
  <si>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</si>
  <si>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</si>
  <si>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</si>
  <si>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</si>
  <si>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</si>
  <si>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</si>
  <si>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</si>
  <si>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</si>
  <si>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</si>
  <si>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</si>
  <si>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</si>
  <si>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</si>
  <si>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</si>
  <si>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</si>
  <si>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</si>
  <si>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</si>
  <si>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</si>
  <si>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</si>
  <si>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</si>
  <si>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</si>
  <si>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</si>
  <si>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</si>
  <si>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</si>
  <si>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</si>
  <si>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</si>
  <si>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</si>
  <si>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</si>
  <si>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</si>
  <si>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</si>
  <si>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</si>
  <si>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Octagon</t>
    <phoneticPr fontId="1" type="noConversion"/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</si>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</sst>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topLeftCell="A4" workbookViewId="0">
      <selection activeCell="I15" sqref="I15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176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0.9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18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175</v>
      </c>
      <c r="G14" t="s">
        <v>11</v>
      </c>
      <c r="H14">
        <v>0.95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19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173</v>
      </c>
      <c r="G15" t="s">
        <v>10</v>
      </c>
      <c r="H15">
        <v>0.9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18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0.95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19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175</v>
      </c>
      <c r="G17" t="s">
        <v>10</v>
      </c>
      <c r="H17">
        <v>1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20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tr">
        <f t="shared" ref="F20:F71" si="6">IF(N20="", "Circle", "")</f>
        <v>Circle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0.9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18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172</v>
      </c>
      <c r="G23" t="s">
        <v>11</v>
      </c>
      <c r="H23">
        <v>0.95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19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176</v>
      </c>
      <c r="G24" t="s">
        <v>12</v>
      </c>
      <c r="H24">
        <v>0.9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18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175</v>
      </c>
      <c r="G25" t="s">
        <v>12</v>
      </c>
      <c r="H25">
        <v>1.1000000000000001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22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176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172</v>
      </c>
      <c r="G29" t="s">
        <v>11</v>
      </c>
      <c r="H29">
        <v>0.6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12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173</v>
      </c>
      <c r="G30" t="s">
        <v>12</v>
      </c>
      <c r="H30">
        <v>0.65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13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tr">
        <f t="shared" si="6"/>
        <v>Circle</v>
      </c>
      <c r="G31" t="s">
        <v>12</v>
      </c>
      <c r="H31">
        <v>0.7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14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0.8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16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176</v>
      </c>
      <c r="G33" t="s">
        <v>12</v>
      </c>
      <c r="H33">
        <v>0.75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15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174</v>
      </c>
      <c r="G34" t="s">
        <v>10</v>
      </c>
      <c r="H34">
        <v>0.8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16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172</v>
      </c>
      <c r="G35" t="s">
        <v>11</v>
      </c>
      <c r="H35">
        <v>0.75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15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174</v>
      </c>
      <c r="G36" t="s">
        <v>12</v>
      </c>
      <c r="H36">
        <v>0.8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16</v>
      </c>
      <c r="N36" t="s">
        <v>138</v>
      </c>
    </row>
    <row r="37" spans="2:14">
      <c r="B37">
        <v>20015</v>
      </c>
      <c r="C37" t="str">
        <f t="shared" ref="C37:C46" si="7">"enemy_name_"&amp;B37</f>
        <v>enemy_name_20015</v>
      </c>
      <c r="D37" t="str">
        <f t="shared" ref="D37:D46" si="8">"enemy_desc_"&amp;B37</f>
        <v>enemy_desc_20015</v>
      </c>
      <c r="E37" t="s">
        <v>67</v>
      </c>
      <c r="F37" t="s">
        <v>175</v>
      </c>
      <c r="G37" t="s">
        <v>12</v>
      </c>
      <c r="H37">
        <v>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20</v>
      </c>
      <c r="N37" t="s">
        <v>139</v>
      </c>
    </row>
    <row r="38" spans="2:14">
      <c r="B38">
        <v>20016</v>
      </c>
      <c r="C38" t="str">
        <f t="shared" si="7"/>
        <v>enemy_name_20016</v>
      </c>
      <c r="D38" t="str">
        <f t="shared" si="8"/>
        <v>enemy_desc_20016</v>
      </c>
      <c r="E38" t="s">
        <v>69</v>
      </c>
      <c r="F38" t="s">
        <v>175</v>
      </c>
      <c r="G38" t="s">
        <v>10</v>
      </c>
      <c r="H38">
        <v>1.05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21</v>
      </c>
      <c r="N38" t="s">
        <v>69</v>
      </c>
    </row>
    <row r="39" spans="2:14">
      <c r="B39">
        <v>10022</v>
      </c>
      <c r="C39" t="str">
        <f t="shared" si="7"/>
        <v>enemy_name_10022</v>
      </c>
      <c r="D39" t="str">
        <f t="shared" si="8"/>
        <v>enemy_desc_10022</v>
      </c>
      <c r="E39" t="s">
        <v>71</v>
      </c>
      <c r="F39" t="str">
        <f t="shared" si="6"/>
        <v>Circle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7"/>
        <v>enemy_name_10023</v>
      </c>
      <c r="D40" t="str">
        <f t="shared" si="8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7"/>
        <v>enemy_name_10024</v>
      </c>
      <c r="D41" t="str">
        <f t="shared" si="8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7"/>
        <v>enemy_name_10025</v>
      </c>
      <c r="D42" t="str">
        <f t="shared" si="8"/>
        <v>enemy_desc_10025</v>
      </c>
      <c r="E42" t="s">
        <v>76</v>
      </c>
      <c r="F42" t="str">
        <f t="shared" si="6"/>
        <v>Circle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7"/>
        <v>enemy_name_10026</v>
      </c>
      <c r="D43" t="str">
        <f t="shared" si="8"/>
        <v>enemy_desc_10026</v>
      </c>
      <c r="E43" t="s">
        <v>77</v>
      </c>
      <c r="F43" t="s">
        <v>176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7"/>
        <v>enemy_name_10027</v>
      </c>
      <c r="D44" t="str">
        <f t="shared" si="8"/>
        <v>enemy_desc_10027</v>
      </c>
      <c r="E44" t="s">
        <v>78</v>
      </c>
      <c r="F44" t="str">
        <f t="shared" si="6"/>
        <v>Circle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7"/>
        <v>enemy_name_10028</v>
      </c>
      <c r="D45" t="str">
        <f t="shared" si="8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7"/>
        <v>enemy_name_10029</v>
      </c>
      <c r="D46" t="str">
        <f t="shared" si="8"/>
        <v>enemy_desc_10029</v>
      </c>
      <c r="E46" t="s">
        <v>80</v>
      </c>
      <c r="F46" t="s">
        <v>175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9">"enemy_name_"&amp;B47</f>
        <v>enemy_name_10030</v>
      </c>
      <c r="D47" t="str">
        <f t="shared" ref="D47:D58" si="10">"enemy_desc_"&amp;B47</f>
        <v>enemy_desc_10030</v>
      </c>
      <c r="E47" t="s">
        <v>81</v>
      </c>
      <c r="F47" t="str">
        <f t="shared" si="6"/>
        <v>Circle</v>
      </c>
      <c r="G47" t="s">
        <v>12</v>
      </c>
      <c r="H47">
        <v>0.75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15</v>
      </c>
    </row>
    <row r="48" spans="2:14">
      <c r="B48">
        <v>10031</v>
      </c>
      <c r="C48" t="str">
        <f t="shared" si="9"/>
        <v>enemy_name_10031</v>
      </c>
      <c r="D48" t="str">
        <f t="shared" si="10"/>
        <v>enemy_desc_10031</v>
      </c>
      <c r="E48" t="s">
        <v>85</v>
      </c>
      <c r="F48" t="str">
        <f t="shared" si="6"/>
        <v>Circle</v>
      </c>
      <c r="G48" t="s">
        <v>12</v>
      </c>
      <c r="H48">
        <v>0.7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14</v>
      </c>
    </row>
    <row r="49" spans="2:14">
      <c r="B49">
        <v>20017</v>
      </c>
      <c r="C49" t="str">
        <f t="shared" si="9"/>
        <v>enemy_name_20017</v>
      </c>
      <c r="D49" t="str">
        <f t="shared" si="10"/>
        <v>enemy_desc_20017</v>
      </c>
      <c r="E49" t="s">
        <v>70</v>
      </c>
      <c r="F49" t="s">
        <v>171</v>
      </c>
      <c r="G49" t="s">
        <v>12</v>
      </c>
      <c r="H49">
        <v>0.9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18</v>
      </c>
      <c r="N49" t="s">
        <v>141</v>
      </c>
    </row>
    <row r="50" spans="2:14">
      <c r="B50">
        <v>20018</v>
      </c>
      <c r="C50" t="str">
        <f t="shared" si="9"/>
        <v>enemy_name_20018</v>
      </c>
      <c r="D50" t="str">
        <f t="shared" si="10"/>
        <v>enemy_desc_20018</v>
      </c>
      <c r="E50" t="s">
        <v>76</v>
      </c>
      <c r="F50" t="s">
        <v>171</v>
      </c>
      <c r="G50" t="s">
        <v>12</v>
      </c>
      <c r="H50">
        <v>0.9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18</v>
      </c>
      <c r="N50" t="s">
        <v>142</v>
      </c>
    </row>
    <row r="51" spans="2:14">
      <c r="B51">
        <v>20019</v>
      </c>
      <c r="C51" t="str">
        <f t="shared" si="9"/>
        <v>enemy_name_20019</v>
      </c>
      <c r="D51" t="str">
        <f t="shared" si="10"/>
        <v>enemy_desc_20019</v>
      </c>
      <c r="E51" t="s">
        <v>72</v>
      </c>
      <c r="F51" t="s">
        <v>172</v>
      </c>
      <c r="G51" t="s">
        <v>11</v>
      </c>
      <c r="H51">
        <v>0.95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19</v>
      </c>
      <c r="N51" t="s">
        <v>143</v>
      </c>
    </row>
    <row r="52" spans="2:14">
      <c r="B52">
        <v>20020</v>
      </c>
      <c r="C52" t="str">
        <f t="shared" si="9"/>
        <v>enemy_name_20020</v>
      </c>
      <c r="D52" t="str">
        <f t="shared" si="10"/>
        <v>enemy_desc_20020</v>
      </c>
      <c r="E52" t="s">
        <v>78</v>
      </c>
      <c r="F52" t="str">
        <f t="shared" si="6"/>
        <v>Circle</v>
      </c>
      <c r="G52" t="s">
        <v>12</v>
      </c>
      <c r="H52">
        <v>1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20</v>
      </c>
    </row>
    <row r="53" spans="2:14">
      <c r="B53">
        <v>20021</v>
      </c>
      <c r="C53" t="str">
        <f t="shared" si="9"/>
        <v>enemy_name_20021</v>
      </c>
      <c r="D53" t="str">
        <f t="shared" si="10"/>
        <v>enemy_desc_20021</v>
      </c>
      <c r="E53" t="s">
        <v>79</v>
      </c>
      <c r="F53" t="s">
        <v>174</v>
      </c>
      <c r="G53" t="s">
        <v>12</v>
      </c>
      <c r="H53">
        <v>0.95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19</v>
      </c>
      <c r="N53" t="s">
        <v>144</v>
      </c>
    </row>
    <row r="54" spans="2:14">
      <c r="B54">
        <v>20022</v>
      </c>
      <c r="C54" t="str">
        <f t="shared" si="9"/>
        <v>enemy_name_20022</v>
      </c>
      <c r="D54" t="str">
        <f t="shared" si="10"/>
        <v>enemy_desc_20022</v>
      </c>
      <c r="E54" t="s">
        <v>77</v>
      </c>
      <c r="F54" t="s">
        <v>176</v>
      </c>
      <c r="G54" t="s">
        <v>12</v>
      </c>
      <c r="H54">
        <v>0.95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19</v>
      </c>
      <c r="N54" t="s">
        <v>145</v>
      </c>
    </row>
    <row r="55" spans="2:14">
      <c r="B55">
        <v>20023</v>
      </c>
      <c r="C55" t="str">
        <f t="shared" si="9"/>
        <v>enemy_name_20023</v>
      </c>
      <c r="D55" t="str">
        <f t="shared" si="10"/>
        <v>enemy_desc_20023</v>
      </c>
      <c r="E55" t="s">
        <v>74</v>
      </c>
      <c r="F55" t="s">
        <v>171</v>
      </c>
      <c r="G55" t="s">
        <v>10</v>
      </c>
      <c r="H55">
        <v>0.9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18</v>
      </c>
      <c r="N55" t="s">
        <v>146</v>
      </c>
    </row>
    <row r="56" spans="2:14">
      <c r="B56">
        <v>20024</v>
      </c>
      <c r="C56" t="str">
        <f t="shared" si="9"/>
        <v>enemy_name_20024</v>
      </c>
      <c r="D56" t="str">
        <f t="shared" si="10"/>
        <v>enemy_desc_20024</v>
      </c>
      <c r="E56" t="s">
        <v>84</v>
      </c>
      <c r="F56" t="s">
        <v>176</v>
      </c>
      <c r="G56" t="s">
        <v>12</v>
      </c>
      <c r="H56">
        <v>1.05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21</v>
      </c>
      <c r="N56" t="s">
        <v>147</v>
      </c>
    </row>
    <row r="57" spans="2:14">
      <c r="B57">
        <v>20025</v>
      </c>
      <c r="C57" t="str">
        <f t="shared" si="9"/>
        <v>enemy_name_20025</v>
      </c>
      <c r="D57" t="str">
        <f t="shared" si="10"/>
        <v>enemy_desc_20025</v>
      </c>
      <c r="E57" t="s">
        <v>83</v>
      </c>
      <c r="F57" t="s">
        <v>175</v>
      </c>
      <c r="G57" t="s">
        <v>12</v>
      </c>
      <c r="H57">
        <v>1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20</v>
      </c>
      <c r="N57" t="s">
        <v>148</v>
      </c>
    </row>
    <row r="58" spans="2:14">
      <c r="B58">
        <v>20026</v>
      </c>
      <c r="C58" t="str">
        <f t="shared" si="9"/>
        <v>enemy_name_20026</v>
      </c>
      <c r="D58" t="str">
        <f t="shared" si="10"/>
        <v>enemy_desc_20026</v>
      </c>
      <c r="E58" t="s">
        <v>82</v>
      </c>
      <c r="F58" t="s">
        <v>175</v>
      </c>
      <c r="G58" t="s">
        <v>12</v>
      </c>
      <c r="H58">
        <v>1.1000000000000001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22</v>
      </c>
      <c r="N58" t="s">
        <v>149</v>
      </c>
    </row>
    <row r="59" spans="2:14">
      <c r="B59">
        <v>10401</v>
      </c>
      <c r="C59" t="str">
        <f t="shared" ref="C59" si="11">"enemy_name_"&amp;B59</f>
        <v>enemy_name_10401</v>
      </c>
      <c r="D59" t="str">
        <f t="shared" ref="D59" si="12">"enemy_desc_"&amp;B59</f>
        <v>enemy_desc_10401</v>
      </c>
      <c r="E59" t="s">
        <v>96</v>
      </c>
      <c r="F59" t="str">
        <f t="shared" si="6"/>
        <v>Circle</v>
      </c>
      <c r="G59" t="s">
        <v>11</v>
      </c>
      <c r="H59">
        <v>0.35</v>
      </c>
      <c r="I59">
        <v>1</v>
      </c>
      <c r="J59">
        <f t="shared" ref="J59:J98" si="13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6"/>
        <v>Circle</v>
      </c>
      <c r="G60" t="s">
        <v>12</v>
      </c>
      <c r="H60">
        <v>0.35</v>
      </c>
      <c r="I60">
        <v>1</v>
      </c>
      <c r="J60">
        <f t="shared" si="13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13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6"/>
        <v>Circle</v>
      </c>
      <c r="G62" t="s">
        <v>10</v>
      </c>
      <c r="H62">
        <v>0.5</v>
      </c>
      <c r="I62">
        <v>1</v>
      </c>
      <c r="J62">
        <f t="shared" si="13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13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13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176</v>
      </c>
      <c r="G65" t="s">
        <v>10</v>
      </c>
      <c r="H65">
        <v>0.65</v>
      </c>
      <c r="I65">
        <v>1</v>
      </c>
      <c r="J65">
        <f t="shared" si="13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6"/>
        <v>Circle</v>
      </c>
      <c r="G66" t="s">
        <v>12</v>
      </c>
      <c r="H66">
        <v>0.8</v>
      </c>
      <c r="I66">
        <v>1</v>
      </c>
      <c r="J66">
        <f t="shared" si="13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6"/>
        <v>Circle</v>
      </c>
      <c r="G67" t="s">
        <v>11</v>
      </c>
      <c r="H67">
        <v>0.4</v>
      </c>
      <c r="I67">
        <v>1</v>
      </c>
      <c r="J67">
        <f t="shared" si="13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13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176</v>
      </c>
      <c r="G69" t="s">
        <v>11</v>
      </c>
      <c r="H69">
        <v>0.8</v>
      </c>
      <c r="I69">
        <v>1</v>
      </c>
      <c r="J69">
        <f t="shared" si="13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si="13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6"/>
        <v>Circle</v>
      </c>
      <c r="G71" t="s">
        <v>10</v>
      </c>
      <c r="H71">
        <v>0.7</v>
      </c>
      <c r="I71">
        <v>1</v>
      </c>
      <c r="J71">
        <f t="shared" si="13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3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6">"enemy_name_"&amp;B73</f>
        <v>enemy_name_20401</v>
      </c>
      <c r="D73" t="str">
        <f t="shared" ref="D73:D82" si="17">"enemy_desc_"&amp;B73</f>
        <v>enemy_desc_20401</v>
      </c>
      <c r="E73" t="s">
        <v>94</v>
      </c>
      <c r="F73" t="s">
        <v>171</v>
      </c>
      <c r="G73" t="s">
        <v>11</v>
      </c>
      <c r="H73">
        <v>0.85</v>
      </c>
      <c r="I73">
        <v>1</v>
      </c>
      <c r="J73">
        <f t="shared" ref="J73:J82" si="18">ROUND(IF(LEFT(B73,1)="2", 500, 100)*(1/K73)*IF(H73&gt;0.5,0.5,H73),0)</f>
        <v>417</v>
      </c>
      <c r="K73">
        <v>0.6</v>
      </c>
      <c r="L73">
        <v>0</v>
      </c>
      <c r="M73">
        <f t="shared" ref="M73:M82" si="19">ROUND(H73*20, 0)</f>
        <v>17</v>
      </c>
      <c r="N73" t="s">
        <v>150</v>
      </c>
    </row>
    <row r="74" spans="2:14">
      <c r="B74">
        <v>20402</v>
      </c>
      <c r="C74" t="str">
        <f t="shared" si="16"/>
        <v>enemy_name_20402</v>
      </c>
      <c r="D74" t="str">
        <f t="shared" si="17"/>
        <v>enemy_desc_20402</v>
      </c>
      <c r="E74" t="s">
        <v>91</v>
      </c>
      <c r="F74" t="s">
        <v>175</v>
      </c>
      <c r="G74" t="s">
        <v>10</v>
      </c>
      <c r="H74">
        <v>0.9</v>
      </c>
      <c r="I74">
        <v>1</v>
      </c>
      <c r="J74">
        <f t="shared" si="18"/>
        <v>500</v>
      </c>
      <c r="K74">
        <v>0.5</v>
      </c>
      <c r="L74">
        <v>0</v>
      </c>
      <c r="M74">
        <f t="shared" si="19"/>
        <v>18</v>
      </c>
      <c r="N74" t="s">
        <v>151</v>
      </c>
    </row>
    <row r="75" spans="2:14">
      <c r="B75">
        <v>20403</v>
      </c>
      <c r="C75" t="str">
        <f t="shared" si="16"/>
        <v>enemy_name_20403</v>
      </c>
      <c r="D75" t="str">
        <f t="shared" si="17"/>
        <v>enemy_desc_20403</v>
      </c>
      <c r="E75" t="s">
        <v>92</v>
      </c>
      <c r="F75" t="s">
        <v>171</v>
      </c>
      <c r="G75" t="s">
        <v>10</v>
      </c>
      <c r="H75">
        <v>0.9</v>
      </c>
      <c r="I75">
        <v>1</v>
      </c>
      <c r="J75">
        <f t="shared" si="18"/>
        <v>333</v>
      </c>
      <c r="K75">
        <v>0.75</v>
      </c>
      <c r="L75">
        <v>0</v>
      </c>
      <c r="M75">
        <f t="shared" si="19"/>
        <v>18</v>
      </c>
      <c r="N75" t="s">
        <v>152</v>
      </c>
    </row>
    <row r="76" spans="2:14">
      <c r="B76">
        <v>20404</v>
      </c>
      <c r="C76" t="str">
        <f t="shared" si="16"/>
        <v>enemy_name_20404</v>
      </c>
      <c r="D76" t="str">
        <f t="shared" si="17"/>
        <v>enemy_desc_20404</v>
      </c>
      <c r="E76" t="s">
        <v>93</v>
      </c>
      <c r="F76" t="s">
        <v>171</v>
      </c>
      <c r="G76" t="s">
        <v>11</v>
      </c>
      <c r="H76">
        <v>1</v>
      </c>
      <c r="I76">
        <v>1</v>
      </c>
      <c r="J76">
        <f t="shared" si="18"/>
        <v>385</v>
      </c>
      <c r="K76">
        <v>0.65</v>
      </c>
      <c r="L76">
        <v>0</v>
      </c>
      <c r="M76">
        <f t="shared" si="19"/>
        <v>20</v>
      </c>
      <c r="N76" t="s">
        <v>153</v>
      </c>
    </row>
    <row r="77" spans="2:14">
      <c r="B77">
        <v>20405</v>
      </c>
      <c r="C77" t="str">
        <f t="shared" si="16"/>
        <v>enemy_name_20405</v>
      </c>
      <c r="D77" t="str">
        <f t="shared" si="17"/>
        <v>enemy_desc_20405</v>
      </c>
      <c r="E77" t="s">
        <v>95</v>
      </c>
      <c r="F77" t="s">
        <v>172</v>
      </c>
      <c r="G77" t="s">
        <v>12</v>
      </c>
      <c r="H77">
        <v>0.9</v>
      </c>
      <c r="I77">
        <v>1</v>
      </c>
      <c r="J77">
        <f t="shared" si="18"/>
        <v>455</v>
      </c>
      <c r="K77">
        <v>0.55000000000000004</v>
      </c>
      <c r="L77">
        <v>0</v>
      </c>
      <c r="M77">
        <f t="shared" si="19"/>
        <v>18</v>
      </c>
      <c r="N77" t="s">
        <v>154</v>
      </c>
    </row>
    <row r="78" spans="2:14">
      <c r="B78">
        <v>20406</v>
      </c>
      <c r="C78" t="str">
        <f t="shared" si="16"/>
        <v>enemy_name_20406</v>
      </c>
      <c r="D78" t="str">
        <f t="shared" si="17"/>
        <v>enemy_desc_20406</v>
      </c>
      <c r="E78" t="s">
        <v>90</v>
      </c>
      <c r="F78" t="s">
        <v>174</v>
      </c>
      <c r="G78" t="s">
        <v>10</v>
      </c>
      <c r="H78">
        <v>1</v>
      </c>
      <c r="I78">
        <v>1</v>
      </c>
      <c r="J78">
        <f t="shared" si="18"/>
        <v>500</v>
      </c>
      <c r="K78">
        <v>0.5</v>
      </c>
      <c r="L78">
        <v>0</v>
      </c>
      <c r="M78">
        <f t="shared" si="19"/>
        <v>20</v>
      </c>
      <c r="N78" t="s">
        <v>155</v>
      </c>
    </row>
    <row r="79" spans="2:14">
      <c r="B79">
        <v>20407</v>
      </c>
      <c r="C79" t="str">
        <f t="shared" si="16"/>
        <v>enemy_name_20407</v>
      </c>
      <c r="D79" t="str">
        <f t="shared" si="17"/>
        <v>enemy_desc_20407</v>
      </c>
      <c r="E79" t="s">
        <v>88</v>
      </c>
      <c r="F79" t="s">
        <v>176</v>
      </c>
      <c r="G79" t="s">
        <v>12</v>
      </c>
      <c r="H79">
        <v>0.9</v>
      </c>
      <c r="I79">
        <v>1</v>
      </c>
      <c r="J79">
        <f t="shared" si="18"/>
        <v>333</v>
      </c>
      <c r="K79">
        <v>0.75</v>
      </c>
      <c r="L79">
        <v>0</v>
      </c>
      <c r="M79">
        <f t="shared" si="19"/>
        <v>18</v>
      </c>
      <c r="N79" t="s">
        <v>156</v>
      </c>
    </row>
    <row r="80" spans="2:14">
      <c r="B80">
        <v>20408</v>
      </c>
      <c r="C80" t="str">
        <f t="shared" si="16"/>
        <v>enemy_name_20408</v>
      </c>
      <c r="D80" t="str">
        <f t="shared" si="17"/>
        <v>enemy_desc_20408</v>
      </c>
      <c r="E80" t="s">
        <v>89</v>
      </c>
      <c r="F80" t="s">
        <v>173</v>
      </c>
      <c r="G80" t="s">
        <v>11</v>
      </c>
      <c r="H80">
        <v>1.1000000000000001</v>
      </c>
      <c r="I80">
        <v>1</v>
      </c>
      <c r="J80">
        <f t="shared" si="18"/>
        <v>313</v>
      </c>
      <c r="K80">
        <v>0.8</v>
      </c>
      <c r="L80">
        <v>0</v>
      </c>
      <c r="M80">
        <f t="shared" si="19"/>
        <v>22</v>
      </c>
      <c r="N80" t="s">
        <v>157</v>
      </c>
    </row>
    <row r="81" spans="2:14">
      <c r="B81">
        <v>20409</v>
      </c>
      <c r="C81" t="str">
        <f t="shared" si="16"/>
        <v>enemy_name_20409</v>
      </c>
      <c r="D81" t="str">
        <f t="shared" si="17"/>
        <v>enemy_desc_20409</v>
      </c>
      <c r="E81" t="s">
        <v>87</v>
      </c>
      <c r="F81" t="s">
        <v>175</v>
      </c>
      <c r="G81" t="s">
        <v>11</v>
      </c>
      <c r="H81">
        <v>1.2</v>
      </c>
      <c r="I81">
        <v>1</v>
      </c>
      <c r="J81">
        <f t="shared" si="18"/>
        <v>417</v>
      </c>
      <c r="K81">
        <v>0.6</v>
      </c>
      <c r="L81">
        <v>0</v>
      </c>
      <c r="M81">
        <f t="shared" si="19"/>
        <v>24</v>
      </c>
      <c r="N81" t="s">
        <v>158</v>
      </c>
    </row>
    <row r="82" spans="2:14">
      <c r="B82">
        <v>20410</v>
      </c>
      <c r="C82" t="str">
        <f t="shared" si="16"/>
        <v>enemy_name_20410</v>
      </c>
      <c r="D82" t="str">
        <f t="shared" si="17"/>
        <v>enemy_desc_20410</v>
      </c>
      <c r="E82" t="s">
        <v>86</v>
      </c>
      <c r="F82" t="s">
        <v>175</v>
      </c>
      <c r="G82" t="s">
        <v>10</v>
      </c>
      <c r="H82">
        <v>1.1000000000000001</v>
      </c>
      <c r="I82">
        <v>1</v>
      </c>
      <c r="J82">
        <f t="shared" si="18"/>
        <v>455</v>
      </c>
      <c r="K82">
        <v>0.55000000000000004</v>
      </c>
      <c r="L82">
        <v>0</v>
      </c>
      <c r="M82">
        <f t="shared" si="19"/>
        <v>22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94" si="22">IF(N83="", "Circle", "")</f>
        <v>Circle</v>
      </c>
      <c r="G83" t="s">
        <v>11</v>
      </c>
      <c r="H83">
        <v>0.35</v>
      </c>
      <c r="I83">
        <v>1</v>
      </c>
      <c r="J83">
        <f t="shared" si="13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3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3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3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3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176</v>
      </c>
      <c r="G88" t="s">
        <v>12</v>
      </c>
      <c r="H88">
        <v>0.5</v>
      </c>
      <c r="I88">
        <v>1</v>
      </c>
      <c r="J88">
        <f t="shared" si="13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3"/>
        <v>83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0.7</v>
      </c>
      <c r="I90">
        <v>1</v>
      </c>
      <c r="J90">
        <f t="shared" si="13"/>
        <v>91</v>
      </c>
      <c r="K90">
        <v>0.55000000000000004</v>
      </c>
      <c r="L90">
        <v>0</v>
      </c>
      <c r="M90">
        <f t="shared" si="3"/>
        <v>14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3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3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0.7</v>
      </c>
      <c r="I93">
        <v>1</v>
      </c>
      <c r="J93">
        <f t="shared" si="13"/>
        <v>100</v>
      </c>
      <c r="K93">
        <v>0.5</v>
      </c>
      <c r="L93">
        <v>0</v>
      </c>
      <c r="M93">
        <f t="shared" si="3"/>
        <v>14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3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3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0.7</v>
      </c>
      <c r="I96">
        <v>1</v>
      </c>
      <c r="J96">
        <f t="shared" si="13"/>
        <v>63</v>
      </c>
      <c r="K96">
        <v>0.8</v>
      </c>
      <c r="L96">
        <v>0</v>
      </c>
      <c r="M96">
        <f t="shared" si="3"/>
        <v>14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176</v>
      </c>
      <c r="G97" t="s">
        <v>10</v>
      </c>
      <c r="H97">
        <v>0.8</v>
      </c>
      <c r="I97">
        <v>1</v>
      </c>
      <c r="J97">
        <f t="shared" si="13"/>
        <v>100</v>
      </c>
      <c r="K97">
        <v>0.5</v>
      </c>
      <c r="L97">
        <v>0</v>
      </c>
      <c r="M97">
        <f t="shared" si="3"/>
        <v>16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0.8</v>
      </c>
      <c r="I98">
        <v>1</v>
      </c>
      <c r="J98">
        <f t="shared" si="13"/>
        <v>83</v>
      </c>
      <c r="K98">
        <v>0.6</v>
      </c>
      <c r="L98">
        <v>50</v>
      </c>
      <c r="M98">
        <f t="shared" si="3"/>
        <v>16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</v>
      </c>
      <c r="I99">
        <v>1</v>
      </c>
      <c r="J99">
        <f t="shared" ref="J99:J108" si="27">ROUND(IF(LEFT(B99,1)="2", 500, 100)*(1/K99)*IF(H99&gt;0.5,0.5,H99),0)</f>
        <v>500</v>
      </c>
      <c r="K99">
        <v>0.5</v>
      </c>
      <c r="L99">
        <v>0</v>
      </c>
      <c r="M99">
        <f t="shared" ref="M99:M108" si="28">ROUND(H99*20, 0)</f>
        <v>20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0.8</v>
      </c>
      <c r="I100">
        <v>1</v>
      </c>
      <c r="J100">
        <f t="shared" si="27"/>
        <v>417</v>
      </c>
      <c r="K100">
        <v>0.6</v>
      </c>
      <c r="L100">
        <v>0</v>
      </c>
      <c r="M100">
        <f t="shared" si="28"/>
        <v>16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0.8</v>
      </c>
      <c r="I101">
        <v>1</v>
      </c>
      <c r="J101">
        <f t="shared" si="27"/>
        <v>417</v>
      </c>
      <c r="K101">
        <v>0.6</v>
      </c>
      <c r="L101">
        <v>0</v>
      </c>
      <c r="M101">
        <f t="shared" si="28"/>
        <v>16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1.1000000000000001</v>
      </c>
      <c r="I102">
        <v>1</v>
      </c>
      <c r="J102">
        <f t="shared" si="27"/>
        <v>500</v>
      </c>
      <c r="K102">
        <v>0.5</v>
      </c>
      <c r="L102">
        <v>0</v>
      </c>
      <c r="M102">
        <f t="shared" si="28"/>
        <v>22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175</v>
      </c>
      <c r="G103" t="s">
        <v>11</v>
      </c>
      <c r="H103">
        <v>1</v>
      </c>
      <c r="I103">
        <v>1</v>
      </c>
      <c r="J103">
        <f t="shared" si="27"/>
        <v>500</v>
      </c>
      <c r="K103">
        <v>0.5</v>
      </c>
      <c r="L103">
        <v>0</v>
      </c>
      <c r="M103">
        <f t="shared" si="28"/>
        <v>20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176</v>
      </c>
      <c r="G104" t="s">
        <v>10</v>
      </c>
      <c r="H104">
        <v>0.8</v>
      </c>
      <c r="I104">
        <v>1</v>
      </c>
      <c r="J104">
        <f t="shared" si="27"/>
        <v>500</v>
      </c>
      <c r="K104">
        <v>0.5</v>
      </c>
      <c r="L104">
        <v>0</v>
      </c>
      <c r="M104">
        <f t="shared" si="28"/>
        <v>16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0.9</v>
      </c>
      <c r="I105">
        <v>1</v>
      </c>
      <c r="J105">
        <f t="shared" si="27"/>
        <v>500</v>
      </c>
      <c r="K105">
        <v>0.5</v>
      </c>
      <c r="L105">
        <v>0</v>
      </c>
      <c r="M105">
        <f t="shared" si="28"/>
        <v>18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175</v>
      </c>
      <c r="G106" t="s">
        <v>11</v>
      </c>
      <c r="H106">
        <v>1</v>
      </c>
      <c r="I106">
        <v>1</v>
      </c>
      <c r="J106">
        <f t="shared" si="27"/>
        <v>500</v>
      </c>
      <c r="K106">
        <v>0.5</v>
      </c>
      <c r="L106">
        <v>0</v>
      </c>
      <c r="M106">
        <f t="shared" si="28"/>
        <v>20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175</v>
      </c>
      <c r="G107" t="s">
        <v>12</v>
      </c>
      <c r="H107">
        <v>0.9</v>
      </c>
      <c r="I107">
        <v>1</v>
      </c>
      <c r="J107">
        <f t="shared" si="27"/>
        <v>500</v>
      </c>
      <c r="K107">
        <v>0.5</v>
      </c>
      <c r="L107">
        <v>0</v>
      </c>
      <c r="M107">
        <f t="shared" si="28"/>
        <v>18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175</v>
      </c>
      <c r="G108" t="s">
        <v>10</v>
      </c>
      <c r="H108">
        <v>1.2</v>
      </c>
      <c r="I108">
        <v>1</v>
      </c>
      <c r="J108">
        <f t="shared" si="27"/>
        <v>500</v>
      </c>
      <c r="K108">
        <v>0.5</v>
      </c>
      <c r="L108">
        <v>0</v>
      </c>
      <c r="M108">
        <f t="shared" si="28"/>
        <v>24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2022-07-03T13:53:11Z</dcterms:modified>
</cp:coreProperties>
</file>