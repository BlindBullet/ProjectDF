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73e52b86e60b129/_진행 프로젝트/ProjectDF/테이블/"/>
    </mc:Choice>
  </mc:AlternateContent>
  <xr:revisionPtr revIDLastSave="8" documentId="13_ncr:1_{E5F9B1CA-5006-47DE-87F9-B7BD40708943}" xr6:coauthVersionLast="47" xr6:coauthVersionMax="47" xr10:uidLastSave="{BFD5B98F-1863-471C-9BD4-FD2F1CD3B8F2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5" i="2" l="1"/>
  <c r="L25" i="2"/>
  <c r="C25" i="2"/>
  <c r="D25" i="2"/>
  <c r="I24" i="2"/>
  <c r="I23" i="2"/>
  <c r="I22" i="2"/>
  <c r="L24" i="2"/>
  <c r="L23" i="2"/>
  <c r="L22" i="2"/>
  <c r="C24" i="2"/>
  <c r="D24" i="2"/>
  <c r="C23" i="2"/>
  <c r="D23" i="2"/>
  <c r="C22" i="2"/>
  <c r="D22" i="2"/>
  <c r="I21" i="2"/>
  <c r="L21" i="2"/>
  <c r="C21" i="2"/>
  <c r="D21" i="2"/>
  <c r="I20" i="2"/>
  <c r="L20" i="2"/>
  <c r="C20" i="2"/>
  <c r="D20" i="2"/>
  <c r="I19" i="2"/>
  <c r="L19" i="2"/>
  <c r="D19" i="2"/>
  <c r="C19" i="2"/>
  <c r="I18" i="2"/>
  <c r="L18" i="2"/>
  <c r="C18" i="2"/>
  <c r="D18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2" i="2"/>
  <c r="L12" i="2"/>
  <c r="C12" i="2"/>
  <c r="D12" i="2"/>
  <c r="L3" i="2"/>
  <c r="L4" i="2"/>
  <c r="L5" i="2"/>
  <c r="L6" i="2"/>
  <c r="L7" i="2"/>
  <c r="L8" i="2"/>
  <c r="L9" i="2"/>
  <c r="L10" i="2"/>
  <c r="L11" i="2"/>
  <c r="L13" i="2"/>
  <c r="L14" i="2"/>
  <c r="L15" i="2"/>
  <c r="L16" i="2"/>
  <c r="L17" i="2"/>
  <c r="L2" i="2"/>
  <c r="D14" i="2"/>
  <c r="D15" i="2"/>
  <c r="D16" i="2"/>
  <c r="D17" i="2"/>
  <c r="C15" i="2"/>
  <c r="C16" i="2"/>
  <c r="C17" i="2"/>
  <c r="C14" i="2"/>
  <c r="D5" i="2"/>
  <c r="D6" i="2"/>
  <c r="D7" i="2"/>
  <c r="D8" i="2"/>
  <c r="D9" i="2"/>
  <c r="D10" i="2"/>
  <c r="D11" i="2"/>
  <c r="C5" i="2"/>
  <c r="C6" i="2"/>
  <c r="C7" i="2"/>
  <c r="C8" i="2"/>
  <c r="C9" i="2"/>
  <c r="C10" i="2"/>
  <c r="C11" i="2"/>
  <c r="D13" i="2"/>
  <c r="C13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<sst xmlns="http://schemas.openxmlformats.org/spreadsheetml/2006/main" count="116" uniqueCount="63">
  <si>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</si>
  <si>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</si>
  <si>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</si>
  <si>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</si>
  <si>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</si>
  <si>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</si>
  <si>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</si>
  <si>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</si>
  <si>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</si>
  <si>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</si>
  <si>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</si>
  <si>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</si>
  <si>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</si>
  <si>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</si>
  <si>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</si>
  <si>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</si>
  <si>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</si>
  <si>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</si>
  <si>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</si>
  <si>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</si>
  <si>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</si>
  <si>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</si>
  <si>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</si>
  <si>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</si>
  <si>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</si>
  <si>
    <t>GoblinChampionB</t>
    <phoneticPr fontId="1" type="noConversion"/>
  </si>
  <si>
    <t>GoblinMageB</t>
    <phoneticPr fontId="1" type="noConversion"/>
  </si>
  <si>
    <t>GoblinRaiderB</t>
    <phoneticPr fontId="1" type="noConversion"/>
  </si>
  <si>
    <t>GoblinReaperB</t>
    <phoneticPr fontId="1" type="noConversion"/>
  </si>
  <si>
    <t>GoblinKingB</t>
    <phoneticPr fontId="1" type="noConversion"/>
  </si>
  <si>
    <t>GoblinMage2</t>
    <phoneticPr fontId="1" type="noConversion"/>
  </si>
  <si>
    <t>OrcAxeWarrior</t>
    <phoneticPr fontId="1" type="noConversion"/>
  </si>
  <si>
    <t>OrcChiefGrunt</t>
    <phoneticPr fontId="1" type="noConversion"/>
  </si>
  <si>
    <t>OrcSwordWarrior</t>
    <phoneticPr fontId="1" type="noConversion"/>
  </si>
  <si>
    <t>OrcWarlock</t>
    <phoneticPr fontId="1" type="noConversion"/>
  </si>
  <si>
    <t>FallenKing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</si>
  <si>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</si>
  <si>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</si>
  <si>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</si>
  <si>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</si>
  <si>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</si>
  <si>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</si>
  <si>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</si>
  <si>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float</t>
    <phoneticPr fontId="1" type="noConversion"/>
  </si>
  <si>
    <t>string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</si>
  <si>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</si>
  <si>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</si>
  <si>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이름 - 현재 쓰이지 않음.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</si>
  <si>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mo"/>
        <family val="3"/>
      </rPr>
      <t xml:space="preserve"> </t>
    </r>
    <r>
      <rPr>
        <sz val="11"/>
        <color theme="1"/>
        <rFont val="맑은 고딕"/>
        <family val="3"/>
        <charset val="129"/>
      </rPr>
      <t>설명</t>
    </r>
    <r>
      <rPr>
        <sz val="11"/>
        <color theme="1"/>
        <rFont val="Arimo"/>
        <family val="3"/>
        <charset val="129"/>
      </rPr>
      <t xml:space="preserve"> - </t>
    </r>
    <r>
      <rPr>
        <sz val="11"/>
        <color theme="1"/>
        <rFont val="맑은 고딕"/>
        <family val="3"/>
        <charset val="129"/>
      </rPr>
      <t>현재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쓰이지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않음</t>
    </r>
    <r>
      <rPr>
        <sz val="11"/>
        <color theme="1"/>
        <rFont val="Arimo"/>
        <family val="3"/>
        <charset val="129"/>
      </rPr>
      <t>.</t>
    </r>
    <phoneticPr fontId="1" type="noConversion"/>
  </si>
  <si>
    <t>적 모델명 입력</t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</si>
  <si>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</si>
  <si>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enum
None
Red
Blue
Green</t>
    <phoneticPr fontId="1" type="noConversion"/>
  </si>
  <si>
    <t>None</t>
    <phoneticPr fontId="1" type="noConversion"/>
  </si>
  <si>
    <r>
      <rPr>
        <sz val="11"/>
        <color theme="1"/>
        <rFont val="맑은 고딕"/>
        <family val="3"/>
        <charset val="129"/>
      </rPr>
      <t xml:space="preserve">속성
</t>
    </r>
    <r>
      <rPr>
        <sz val="11"/>
        <color theme="1"/>
        <rFont val="Arial"/>
        <family val="2"/>
      </rPr>
      <t xml:space="preserve">None : </t>
    </r>
    <r>
      <rPr>
        <sz val="11"/>
        <color theme="1"/>
        <rFont val="맑은 고딕"/>
        <family val="3"/>
        <charset val="129"/>
      </rPr>
      <t>무속성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모든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데미지에</t>
    </r>
    <r>
      <rPr>
        <sz val="11"/>
        <color theme="1"/>
        <rFont val="Arial"/>
        <family val="2"/>
      </rPr>
      <t xml:space="preserve"> 100%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Red : 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Blue : 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r>
      <rPr>
        <sz val="11"/>
        <color theme="1"/>
        <rFont val="Arimo"/>
        <family val="3"/>
        <charset val="129"/>
      </rPr>
      <t xml:space="preserve">
Green : 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phoneticPr fontId="1" type="noConversion"/>
  </si>
  <si>
    <t>해당 적의 크기</t>
    <phoneticPr fontId="1" type="noConversion"/>
  </si>
  <si>
    <t>해당 적의 무게</t>
    <phoneticPr fontId="1" type="noConversion"/>
  </si>
  <si>
    <t>적 체력</t>
    <phoneticPr fontId="1" type="noConversion"/>
  </si>
  <si>
    <t>적 이동속도</t>
    <phoneticPr fontId="1" type="noConversion"/>
  </si>
  <si>
    <t>double</t>
    <phoneticPr fontId="1" type="noConversion"/>
  </si>
  <si>
    <t>적을 죽였을 때 얻을 골드</t>
    <phoneticPr fontId="1" type="noConversion"/>
  </si>
  <si>
    <t>적이 사용할 스킬
입력하지 않을 경우 스킬 없음</t>
    <phoneticPr fontId="1" type="noConversion"/>
  </si>
  <si>
    <t>Def</t>
    <phoneticPr fontId="1" type="noConversion"/>
  </si>
  <si>
    <t>적 방어력(%)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</si>
</sst>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0" fillId="0" borderId="2" xfId="0" applyBorder="1" applyAlignment="1">
      <alignment vertical="center"/>
    </xf>
    <xf numFmtId="0" fontId="3" fillId="0" borderId="2" xfId="1" applyFont="1" applyBorder="1" applyAlignment="1">
      <alignment wrapText="1"/>
    </xf>
    <xf numFmtId="0" fontId="9" fillId="0" borderId="2" xfId="1" applyFont="1" applyBorder="1" applyAlignment="1">
      <alignment horizontal="center" vertical="center" wrapText="1"/>
    </xf>
    <xf numFmtId="0" fontId="7" fillId="0" borderId="2" xfId="1" applyFont="1" applyBorder="1" applyAlignment="1">
      <alignment wrapText="1"/>
    </xf>
    <xf numFmtId="0" fontId="0" fillId="0" borderId="2" xfId="0" applyBorder="1" applyAlignment="1">
      <alignment vertical="center" wrapText="1"/>
    </xf>
  </cellXfs>
  <cellStyles count="2">
    <cellStyle name="표준" xfId="0" builtinId="0"/>
    <cellStyle name="표준 2" xfId="1" xr:uid="{2952A3C4-6AAC-4E97-9DF4-43254A877D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25"/>
  <sheetViews>
    <sheetView tabSelected="1" workbookViewId="0">
      <selection activeCell="I7" sqref="I7"/>
    </sheetView>
  </sheetViews>
  <sheetFormatPr defaultRowHeight="17.399999999999999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3.19921875" customWidth="1"/>
    <col min="13" max="13" width="16.5" bestFit="1" customWidth="1"/>
  </cols>
  <sheetData>
    <row r="1" spans="2:13" ht="33.75" customHeight="1">
      <c r="B1" t="s">
        <v>0</v>
      </c>
      <c r="C1" t="s">
        <v>2</v>
      </c>
      <c r="D1" t="s">
        <v>3</v>
      </c>
      <c r="E1" t="s">
        <v>1</v>
      </c>
      <c r="F1" t="s">
        <v>9</v>
      </c>
      <c r="G1" t="s">
        <v>4</v>
      </c>
      <c r="H1" t="s">
        <v>13</v>
      </c>
      <c r="I1" t="s">
        <v>6</v>
      </c>
      <c r="J1" t="s">
        <v>5</v>
      </c>
      <c r="K1" t="s">
        <v>61</v>
      </c>
      <c r="L1" t="s">
        <v>7</v>
      </c>
      <c r="M1" t="s">
        <v>8</v>
      </c>
    </row>
    <row r="2" spans="2:13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10</v>
      </c>
      <c r="G2">
        <v>0.3</v>
      </c>
      <c r="H2">
        <v>1</v>
      </c>
      <c r="I2">
        <f>ROUND(IF(LEFT(B2,1)="2", 300, 150)*(1/J2)*G2,0)</f>
        <v>64</v>
      </c>
      <c r="J2">
        <v>0.7</v>
      </c>
      <c r="K2">
        <v>0</v>
      </c>
      <c r="L2">
        <f>ROUND(G2*20, 0)</f>
        <v>6</v>
      </c>
    </row>
    <row r="3" spans="2:13">
      <c r="B3">
        <v>10002</v>
      </c>
      <c r="C3" t="str">
        <f t="shared" ref="C3:C12" si="0">"enemy_name_"&amp;B3</f>
        <v>enemy_name_10002</v>
      </c>
      <c r="D3" t="str">
        <f t="shared" ref="D3:D12" si="1">"enemy_desc_"&amp;B3</f>
        <v>enemy_desc_10002</v>
      </c>
      <c r="E3" t="s">
        <v>19</v>
      </c>
      <c r="F3" t="s">
        <v>11</v>
      </c>
      <c r="G3">
        <v>0.5</v>
      </c>
      <c r="H3">
        <v>1</v>
      </c>
      <c r="I3">
        <f t="shared" ref="I3:I25" si="2">ROUND(IF(LEFT(B3,1)="2", 300, 150)*(1/J3)*G3,0)</f>
        <v>375</v>
      </c>
      <c r="J3">
        <v>0.2</v>
      </c>
      <c r="K3">
        <v>0</v>
      </c>
      <c r="L3">
        <f t="shared" ref="L3:L25" si="3">ROUND(G3*20, 0)</f>
        <v>10</v>
      </c>
    </row>
    <row r="4" spans="2:13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17</v>
      </c>
      <c r="F4" t="s">
        <v>12</v>
      </c>
      <c r="G4">
        <v>0.5</v>
      </c>
      <c r="H4">
        <v>1</v>
      </c>
      <c r="I4">
        <f t="shared" si="2"/>
        <v>250</v>
      </c>
      <c r="J4">
        <v>0.3</v>
      </c>
      <c r="K4">
        <v>0</v>
      </c>
      <c r="L4">
        <f t="shared" si="3"/>
        <v>10</v>
      </c>
      <c r="M4" t="s">
        <v>17</v>
      </c>
    </row>
    <row r="5" spans="2:13">
      <c r="B5">
        <v>10004</v>
      </c>
      <c r="C5" t="str">
        <f t="shared" si="0"/>
        <v>enemy_name_10004</v>
      </c>
      <c r="D5" t="str">
        <f t="shared" si="1"/>
        <v>enemy_desc_10004</v>
      </c>
      <c r="E5" t="s">
        <v>18</v>
      </c>
      <c r="F5" t="s">
        <v>12</v>
      </c>
      <c r="G5">
        <v>0.6</v>
      </c>
      <c r="H5">
        <v>2</v>
      </c>
      <c r="I5">
        <f t="shared" si="2"/>
        <v>450</v>
      </c>
      <c r="J5">
        <v>0.2</v>
      </c>
      <c r="K5">
        <v>0</v>
      </c>
      <c r="L5">
        <f t="shared" si="3"/>
        <v>12</v>
      </c>
      <c r="M5" t="s">
        <v>18</v>
      </c>
    </row>
    <row r="6" spans="2:13">
      <c r="B6">
        <v>10005</v>
      </c>
      <c r="C6" t="str">
        <f t="shared" si="0"/>
        <v>enemy_name_10005</v>
      </c>
      <c r="D6" t="str">
        <f t="shared" si="1"/>
        <v>enemy_desc_10005</v>
      </c>
      <c r="E6" t="s">
        <v>21</v>
      </c>
      <c r="F6" t="s">
        <v>12</v>
      </c>
      <c r="G6">
        <v>0.4</v>
      </c>
      <c r="H6">
        <v>1</v>
      </c>
      <c r="I6">
        <f t="shared" si="2"/>
        <v>150</v>
      </c>
      <c r="J6">
        <v>0.4</v>
      </c>
      <c r="K6">
        <v>0</v>
      </c>
      <c r="L6">
        <f t="shared" si="3"/>
        <v>8</v>
      </c>
      <c r="M6" t="s">
        <v>21</v>
      </c>
    </row>
    <row r="7" spans="2:13">
      <c r="B7">
        <v>10006</v>
      </c>
      <c r="C7" t="str">
        <f t="shared" si="0"/>
        <v>enemy_name_10006</v>
      </c>
      <c r="D7" t="str">
        <f t="shared" si="1"/>
        <v>enemy_desc_10006</v>
      </c>
      <c r="E7" t="s">
        <v>20</v>
      </c>
      <c r="F7" t="s">
        <v>11</v>
      </c>
      <c r="G7">
        <v>0.4</v>
      </c>
      <c r="H7">
        <v>1</v>
      </c>
      <c r="I7">
        <f t="shared" si="2"/>
        <v>150</v>
      </c>
      <c r="J7">
        <v>0.4</v>
      </c>
      <c r="K7">
        <v>0</v>
      </c>
      <c r="L7">
        <f t="shared" si="3"/>
        <v>8</v>
      </c>
      <c r="M7" t="s">
        <v>20</v>
      </c>
    </row>
    <row r="8" spans="2:13">
      <c r="B8">
        <v>10007</v>
      </c>
      <c r="C8" t="str">
        <f t="shared" si="0"/>
        <v>enemy_name_10007</v>
      </c>
      <c r="D8" t="str">
        <f t="shared" si="1"/>
        <v>enemy_desc_10007</v>
      </c>
      <c r="E8" t="s">
        <v>16</v>
      </c>
      <c r="F8" t="s">
        <v>11</v>
      </c>
      <c r="G8">
        <v>0.4</v>
      </c>
      <c r="H8">
        <v>1</v>
      </c>
      <c r="I8">
        <f t="shared" si="2"/>
        <v>120</v>
      </c>
      <c r="J8">
        <v>0.5</v>
      </c>
      <c r="K8">
        <v>0</v>
      </c>
      <c r="L8">
        <f t="shared" si="3"/>
        <v>8</v>
      </c>
    </row>
    <row r="9" spans="2:13">
      <c r="B9">
        <v>10008</v>
      </c>
      <c r="C9" t="str">
        <f t="shared" si="0"/>
        <v>enemy_name_10008</v>
      </c>
      <c r="D9" t="str">
        <f t="shared" si="1"/>
        <v>enemy_desc_10008</v>
      </c>
      <c r="E9" t="s">
        <v>22</v>
      </c>
      <c r="F9" t="s">
        <v>10</v>
      </c>
      <c r="G9">
        <v>0.5</v>
      </c>
      <c r="H9">
        <v>1</v>
      </c>
      <c r="I9">
        <f t="shared" si="2"/>
        <v>75</v>
      </c>
      <c r="J9">
        <v>1</v>
      </c>
      <c r="K9">
        <v>0</v>
      </c>
      <c r="L9">
        <f t="shared" si="3"/>
        <v>10</v>
      </c>
    </row>
    <row r="10" spans="2:13">
      <c r="B10">
        <v>10009</v>
      </c>
      <c r="C10" t="str">
        <f t="shared" si="0"/>
        <v>enemy_name_10009</v>
      </c>
      <c r="D10" t="str">
        <f t="shared" si="1"/>
        <v>enemy_desc_10009</v>
      </c>
      <c r="E10" t="s">
        <v>23</v>
      </c>
      <c r="F10" t="s">
        <v>11</v>
      </c>
      <c r="G10">
        <v>0.35</v>
      </c>
      <c r="H10">
        <v>1</v>
      </c>
      <c r="I10">
        <f t="shared" si="2"/>
        <v>44</v>
      </c>
      <c r="J10">
        <v>1.2</v>
      </c>
      <c r="K10">
        <v>0</v>
      </c>
      <c r="L10">
        <f t="shared" si="3"/>
        <v>7</v>
      </c>
    </row>
    <row r="11" spans="2:13">
      <c r="B11">
        <v>10010</v>
      </c>
      <c r="C11" t="str">
        <f t="shared" si="0"/>
        <v>enemy_name_10010</v>
      </c>
      <c r="D11" t="str">
        <f t="shared" si="1"/>
        <v>enemy_desc_10010</v>
      </c>
      <c r="E11" t="s">
        <v>24</v>
      </c>
      <c r="F11" t="s">
        <v>11</v>
      </c>
      <c r="G11">
        <v>0.4</v>
      </c>
      <c r="H11">
        <v>1</v>
      </c>
      <c r="I11">
        <f t="shared" si="2"/>
        <v>200</v>
      </c>
      <c r="J11">
        <v>0.3</v>
      </c>
      <c r="K11">
        <v>0</v>
      </c>
      <c r="L11">
        <f t="shared" si="3"/>
        <v>8</v>
      </c>
    </row>
    <row r="12" spans="2:13">
      <c r="B12">
        <v>10011</v>
      </c>
      <c r="C12" t="str">
        <f t="shared" si="0"/>
        <v>enemy_name_10011</v>
      </c>
      <c r="D12" t="str">
        <f t="shared" si="1"/>
        <v>enemy_desc_10011</v>
      </c>
      <c r="E12" t="s">
        <v>21</v>
      </c>
      <c r="F12" t="s">
        <v>12</v>
      </c>
      <c r="G12">
        <v>0.6</v>
      </c>
      <c r="H12">
        <v>1</v>
      </c>
      <c r="I12">
        <f t="shared" si="2"/>
        <v>450</v>
      </c>
      <c r="J12">
        <v>0.2</v>
      </c>
      <c r="K12">
        <v>0</v>
      </c>
      <c r="L12">
        <f t="shared" si="3"/>
        <v>12</v>
      </c>
      <c r="M12" t="s">
        <v>30</v>
      </c>
    </row>
    <row r="13" spans="2:13">
      <c r="B13">
        <v>20001</v>
      </c>
      <c r="C13" t="str">
        <f>"enemy_name_"&amp;B13</f>
        <v>enemy_name_20001</v>
      </c>
      <c r="D13" t="str">
        <f>"enemy_desc_"&amp;B13</f>
        <v>enemy_desc_20001</v>
      </c>
      <c r="E13" t="s">
        <v>17</v>
      </c>
      <c r="F13" t="s">
        <v>12</v>
      </c>
      <c r="G13">
        <v>1</v>
      </c>
      <c r="H13">
        <v>1</v>
      </c>
      <c r="I13">
        <f t="shared" si="2"/>
        <v>1000</v>
      </c>
      <c r="J13">
        <v>0.3</v>
      </c>
      <c r="K13">
        <v>0</v>
      </c>
      <c r="L13">
        <f t="shared" si="3"/>
        <v>20</v>
      </c>
      <c r="M13" t="s">
        <v>25</v>
      </c>
    </row>
    <row r="14" spans="2:13">
      <c r="B14">
        <v>20002</v>
      </c>
      <c r="C14" t="str">
        <f>"enemy_name_"&amp;B14</f>
        <v>enemy_name_20002</v>
      </c>
      <c r="D14" t="str">
        <f t="shared" ref="D14:D25" si="4">"enemy_desc_"&amp;B14</f>
        <v>enemy_desc_20002</v>
      </c>
      <c r="E14" t="s">
        <v>21</v>
      </c>
      <c r="F14" t="s">
        <v>11</v>
      </c>
      <c r="G14">
        <v>1</v>
      </c>
      <c r="H14">
        <v>1</v>
      </c>
      <c r="I14">
        <f t="shared" si="2"/>
        <v>1000</v>
      </c>
      <c r="J14">
        <v>0.3</v>
      </c>
      <c r="K14">
        <v>0</v>
      </c>
      <c r="L14">
        <f t="shared" si="3"/>
        <v>20</v>
      </c>
      <c r="M14" t="s">
        <v>26</v>
      </c>
    </row>
    <row r="15" spans="2:13">
      <c r="B15">
        <v>20003</v>
      </c>
      <c r="C15" t="str">
        <f t="shared" ref="C15:C25" si="5">"enemy_name_"&amp;B15</f>
        <v>enemy_name_20003</v>
      </c>
      <c r="D15" t="str">
        <f t="shared" si="4"/>
        <v>enemy_desc_20003</v>
      </c>
      <c r="E15" t="s">
        <v>22</v>
      </c>
      <c r="F15" t="s">
        <v>10</v>
      </c>
      <c r="G15">
        <v>1</v>
      </c>
      <c r="H15">
        <v>1</v>
      </c>
      <c r="I15">
        <f t="shared" si="2"/>
        <v>1000</v>
      </c>
      <c r="J15">
        <v>0.3</v>
      </c>
      <c r="K15">
        <v>0</v>
      </c>
      <c r="L15">
        <f t="shared" si="3"/>
        <v>20</v>
      </c>
      <c r="M15" t="s">
        <v>27</v>
      </c>
    </row>
    <row r="16" spans="2:13">
      <c r="B16">
        <v>20004</v>
      </c>
      <c r="C16" t="str">
        <f t="shared" si="5"/>
        <v>enemy_name_20004</v>
      </c>
      <c r="D16" t="str">
        <f t="shared" si="4"/>
        <v>enemy_desc_20004</v>
      </c>
      <c r="E16" t="s">
        <v>23</v>
      </c>
      <c r="F16" t="s">
        <v>11</v>
      </c>
      <c r="G16">
        <v>1</v>
      </c>
      <c r="H16">
        <v>1</v>
      </c>
      <c r="I16">
        <f t="shared" si="2"/>
        <v>500</v>
      </c>
      <c r="J16">
        <v>0.6</v>
      </c>
      <c r="K16">
        <v>0</v>
      </c>
      <c r="L16">
        <f t="shared" si="3"/>
        <v>20</v>
      </c>
      <c r="M16" t="s">
        <v>28</v>
      </c>
    </row>
    <row r="17" spans="2:13">
      <c r="B17">
        <v>20005</v>
      </c>
      <c r="C17" t="str">
        <f t="shared" si="5"/>
        <v>enemy_name_20005</v>
      </c>
      <c r="D17" t="str">
        <f t="shared" si="4"/>
        <v>enemy_desc_20005</v>
      </c>
      <c r="E17" t="s">
        <v>15</v>
      </c>
      <c r="F17" t="s">
        <v>10</v>
      </c>
      <c r="G17">
        <v>1.2</v>
      </c>
      <c r="H17">
        <v>1</v>
      </c>
      <c r="I17">
        <f t="shared" si="2"/>
        <v>1200</v>
      </c>
      <c r="J17">
        <v>0.3</v>
      </c>
      <c r="K17">
        <v>0</v>
      </c>
      <c r="L17">
        <f t="shared" si="3"/>
        <v>24</v>
      </c>
      <c r="M17" t="s">
        <v>29</v>
      </c>
    </row>
    <row r="18" spans="2:13">
      <c r="B18">
        <v>10012</v>
      </c>
      <c r="C18" t="str">
        <f t="shared" si="5"/>
        <v>enemy_name_10012</v>
      </c>
      <c r="D18" t="str">
        <f t="shared" si="4"/>
        <v>enemy_desc_10012</v>
      </c>
      <c r="E18" t="s">
        <v>31</v>
      </c>
      <c r="F18" t="s">
        <v>11</v>
      </c>
      <c r="G18">
        <v>0.5</v>
      </c>
      <c r="H18">
        <v>1</v>
      </c>
      <c r="I18">
        <f t="shared" si="2"/>
        <v>150</v>
      </c>
      <c r="J18">
        <v>0.5</v>
      </c>
      <c r="K18">
        <v>0</v>
      </c>
      <c r="L18">
        <f t="shared" si="3"/>
        <v>10</v>
      </c>
    </row>
    <row r="19" spans="2:13">
      <c r="B19">
        <v>10013</v>
      </c>
      <c r="C19" t="str">
        <f t="shared" si="5"/>
        <v>enemy_name_10013</v>
      </c>
      <c r="D19" t="str">
        <f t="shared" si="4"/>
        <v>enemy_desc_10013</v>
      </c>
      <c r="E19" t="s">
        <v>32</v>
      </c>
      <c r="F19" t="s">
        <v>10</v>
      </c>
      <c r="G19">
        <v>0.6</v>
      </c>
      <c r="H19">
        <v>1</v>
      </c>
      <c r="I19">
        <f t="shared" si="2"/>
        <v>150</v>
      </c>
      <c r="J19">
        <v>0.6</v>
      </c>
      <c r="K19">
        <v>0</v>
      </c>
      <c r="L19">
        <f t="shared" si="3"/>
        <v>12</v>
      </c>
    </row>
    <row r="20" spans="2:13">
      <c r="B20">
        <v>10014</v>
      </c>
      <c r="C20" t="str">
        <f t="shared" si="5"/>
        <v>enemy_name_10014</v>
      </c>
      <c r="D20" t="str">
        <f t="shared" si="4"/>
        <v>enemy_desc_10014</v>
      </c>
      <c r="E20" t="s">
        <v>33</v>
      </c>
      <c r="F20" t="s">
        <v>11</v>
      </c>
      <c r="G20">
        <v>0.6</v>
      </c>
      <c r="H20">
        <v>1</v>
      </c>
      <c r="I20">
        <f t="shared" si="2"/>
        <v>164</v>
      </c>
      <c r="J20">
        <v>0.55000000000000004</v>
      </c>
      <c r="K20">
        <v>0</v>
      </c>
      <c r="L20">
        <f t="shared" si="3"/>
        <v>12</v>
      </c>
    </row>
    <row r="21" spans="2:13">
      <c r="B21">
        <v>10015</v>
      </c>
      <c r="C21" t="str">
        <f t="shared" si="5"/>
        <v>enemy_name_10015</v>
      </c>
      <c r="D21" t="str">
        <f t="shared" si="4"/>
        <v>enemy_desc_10015</v>
      </c>
      <c r="E21" t="s">
        <v>34</v>
      </c>
      <c r="F21" t="s">
        <v>12</v>
      </c>
      <c r="G21">
        <v>0.55000000000000004</v>
      </c>
      <c r="H21">
        <v>1</v>
      </c>
      <c r="I21">
        <f t="shared" si="2"/>
        <v>165</v>
      </c>
      <c r="J21">
        <v>0.5</v>
      </c>
      <c r="K21">
        <v>0</v>
      </c>
      <c r="L21">
        <f t="shared" si="3"/>
        <v>11</v>
      </c>
    </row>
    <row r="22" spans="2:13">
      <c r="B22">
        <v>20006</v>
      </c>
      <c r="C22" t="str">
        <f t="shared" si="5"/>
        <v>enemy_name_20006</v>
      </c>
      <c r="D22" t="str">
        <f t="shared" si="4"/>
        <v>enemy_desc_20006</v>
      </c>
      <c r="E22" t="s">
        <v>32</v>
      </c>
      <c r="F22" t="s">
        <v>10</v>
      </c>
      <c r="G22">
        <v>1</v>
      </c>
      <c r="H22">
        <v>1</v>
      </c>
      <c r="I22">
        <f t="shared" si="2"/>
        <v>750</v>
      </c>
      <c r="J22">
        <v>0.4</v>
      </c>
      <c r="K22">
        <v>0</v>
      </c>
      <c r="L22">
        <f t="shared" si="3"/>
        <v>20</v>
      </c>
    </row>
    <row r="23" spans="2:13">
      <c r="B23">
        <v>20007</v>
      </c>
      <c r="C23" t="str">
        <f t="shared" si="5"/>
        <v>enemy_name_20007</v>
      </c>
      <c r="D23" t="str">
        <f t="shared" si="4"/>
        <v>enemy_desc_20007</v>
      </c>
      <c r="E23" t="s">
        <v>33</v>
      </c>
      <c r="F23" t="s">
        <v>11</v>
      </c>
      <c r="G23">
        <v>1</v>
      </c>
      <c r="H23">
        <v>1</v>
      </c>
      <c r="I23">
        <f t="shared" si="2"/>
        <v>600</v>
      </c>
      <c r="J23">
        <v>0.5</v>
      </c>
      <c r="K23">
        <v>0</v>
      </c>
      <c r="L23">
        <f t="shared" si="3"/>
        <v>20</v>
      </c>
    </row>
    <row r="24" spans="2:13">
      <c r="B24">
        <v>20008</v>
      </c>
      <c r="C24" t="str">
        <f t="shared" si="5"/>
        <v>enemy_name_20008</v>
      </c>
      <c r="D24" t="str">
        <f t="shared" si="4"/>
        <v>enemy_desc_20008</v>
      </c>
      <c r="E24" t="s">
        <v>34</v>
      </c>
      <c r="F24" t="s">
        <v>12</v>
      </c>
      <c r="G24">
        <v>1</v>
      </c>
      <c r="H24">
        <v>1</v>
      </c>
      <c r="I24">
        <f t="shared" si="2"/>
        <v>667</v>
      </c>
      <c r="J24">
        <v>0.45</v>
      </c>
      <c r="K24">
        <v>0</v>
      </c>
      <c r="L24">
        <f t="shared" si="3"/>
        <v>20</v>
      </c>
    </row>
    <row r="25" spans="2:13">
      <c r="B25">
        <v>20009</v>
      </c>
      <c r="C25" t="str">
        <f t="shared" si="5"/>
        <v>enemy_name_20009</v>
      </c>
      <c r="D25" t="str">
        <f t="shared" si="4"/>
        <v>enemy_desc_20009</v>
      </c>
      <c r="E25" t="s">
        <v>35</v>
      </c>
      <c r="F25" t="s">
        <v>12</v>
      </c>
      <c r="G25">
        <v>1.33</v>
      </c>
      <c r="H25">
        <v>1</v>
      </c>
      <c r="I25">
        <f t="shared" si="2"/>
        <v>798</v>
      </c>
      <c r="J25">
        <v>0.5</v>
      </c>
      <c r="K25">
        <v>0</v>
      </c>
      <c r="L25">
        <f t="shared" si="3"/>
        <v>27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E13" sqref="E13"/>
    </sheetView>
  </sheetViews>
  <sheetFormatPr defaultRowHeight="17.399999999999999"/>
  <cols>
    <col min="1" max="1" width="8.796875" style="1"/>
    <col min="2" max="2" width="12.2968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2" t="s">
        <v>36</v>
      </c>
      <c r="C2" s="3" t="s">
        <v>37</v>
      </c>
      <c r="D2" s="3" t="s">
        <v>38</v>
      </c>
      <c r="E2" s="3" t="s">
        <v>39</v>
      </c>
      <c r="F2" s="3" t="s">
        <v>40</v>
      </c>
    </row>
    <row r="3" spans="2:6">
      <c r="B3" s="4" t="s">
        <v>0</v>
      </c>
      <c r="C3" s="5" t="s">
        <v>41</v>
      </c>
      <c r="D3" s="6"/>
      <c r="E3" s="7" t="s">
        <v>42</v>
      </c>
      <c r="F3" s="8"/>
    </row>
    <row r="4" spans="2:6">
      <c r="B4" s="4" t="s">
        <v>2</v>
      </c>
      <c r="C4" s="9" t="s">
        <v>44</v>
      </c>
      <c r="D4" s="6"/>
      <c r="E4" s="13" t="s">
        <v>47</v>
      </c>
      <c r="F4" s="18" t="s">
        <v>46</v>
      </c>
    </row>
    <row r="5" spans="2:6">
      <c r="B5" s="4" t="s">
        <v>3</v>
      </c>
      <c r="C5" s="11" t="s">
        <v>44</v>
      </c>
      <c r="D5" s="12"/>
      <c r="E5" s="13" t="s">
        <v>48</v>
      </c>
      <c r="F5" s="8" t="s">
        <v>46</v>
      </c>
    </row>
    <row r="6" spans="2:6">
      <c r="B6" s="4" t="s">
        <v>1</v>
      </c>
      <c r="C6" s="9" t="s">
        <v>44</v>
      </c>
      <c r="D6" s="6"/>
      <c r="E6" s="13" t="s">
        <v>49</v>
      </c>
      <c r="F6" s="8" t="s">
        <v>50</v>
      </c>
    </row>
    <row r="7" spans="2:6" ht="87">
      <c r="B7" s="4" t="s">
        <v>9</v>
      </c>
      <c r="C7" s="9" t="s">
        <v>51</v>
      </c>
      <c r="D7" s="12" t="s">
        <v>52</v>
      </c>
      <c r="E7" s="13" t="s">
        <v>53</v>
      </c>
      <c r="F7" s="8"/>
    </row>
    <row r="8" spans="2:6">
      <c r="B8" s="4" t="s">
        <v>4</v>
      </c>
      <c r="C8" s="9" t="s">
        <v>43</v>
      </c>
      <c r="D8" s="19"/>
      <c r="E8" s="10" t="s">
        <v>54</v>
      </c>
      <c r="F8" s="8" t="s">
        <v>45</v>
      </c>
    </row>
    <row r="9" spans="2:6">
      <c r="B9" s="4" t="s">
        <v>13</v>
      </c>
      <c r="C9" s="9" t="s">
        <v>43</v>
      </c>
      <c r="D9" s="12"/>
      <c r="E9" s="14" t="s">
        <v>55</v>
      </c>
      <c r="F9" s="8"/>
    </row>
    <row r="10" spans="2:6">
      <c r="B10" s="4" t="s">
        <v>6</v>
      </c>
      <c r="C10" s="9" t="s">
        <v>43</v>
      </c>
      <c r="D10" s="12"/>
      <c r="E10" s="14" t="s">
        <v>56</v>
      </c>
      <c r="F10" s="8"/>
    </row>
    <row r="11" spans="2:6">
      <c r="B11" s="4" t="s">
        <v>5</v>
      </c>
      <c r="C11" s="15" t="s">
        <v>43</v>
      </c>
      <c r="D11" s="16"/>
      <c r="E11" s="20" t="s">
        <v>57</v>
      </c>
      <c r="F11" s="15"/>
    </row>
    <row r="12" spans="2:6">
      <c r="B12" s="4" t="s">
        <v>61</v>
      </c>
      <c r="C12" s="15" t="s">
        <v>43</v>
      </c>
      <c r="D12" s="16"/>
      <c r="E12" s="20" t="s">
        <v>62</v>
      </c>
      <c r="F12" s="15"/>
    </row>
    <row r="13" spans="2:6">
      <c r="B13" s="4" t="s">
        <v>7</v>
      </c>
      <c r="C13" s="17" t="s">
        <v>58</v>
      </c>
      <c r="D13" s="17"/>
      <c r="E13" s="17" t="s">
        <v>59</v>
      </c>
      <c r="F13" s="17"/>
    </row>
    <row r="14" spans="2:6" ht="34.799999999999997">
      <c r="B14" s="4" t="s">
        <v>8</v>
      </c>
      <c r="C14" s="17" t="s">
        <v>44</v>
      </c>
      <c r="D14" s="17"/>
      <c r="E14" s="21" t="s">
        <v>60</v>
      </c>
      <c r="F14" s="17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 민균</cp:lastModifiedBy>
  <dcterms:created xsi:type="dcterms:W3CDTF">2012-08-21T01:23:22Z</dcterms:created>
  <dcterms:modified xsi:type="dcterms:W3CDTF">2022-05-27T19:27:08Z</dcterms:modified>
</cp:coreProperties>
</file>