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2C06F587-9A69-4B35-9B34-9FEB5212EB97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3" i="2" l="1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2" i="2"/>
  <c r="K12" i="2"/>
  <c r="C12" i="2"/>
  <c r="D12" i="2"/>
  <c r="K3" i="2"/>
  <c r="K4" i="2"/>
  <c r="K5" i="2"/>
  <c r="K6" i="2"/>
  <c r="K7" i="2"/>
  <c r="K8" i="2"/>
  <c r="K9" i="2"/>
  <c r="K10" i="2"/>
  <c r="K11" i="2"/>
  <c r="K13" i="2"/>
  <c r="K14" i="2"/>
  <c r="K15" i="2"/>
  <c r="K16" i="2"/>
  <c r="K17" i="2"/>
  <c r="K2" i="2"/>
  <c r="D14" i="2"/>
  <c r="D15" i="2"/>
  <c r="D16" i="2"/>
  <c r="D17" i="2"/>
  <c r="C15" i="2"/>
  <c r="C16" i="2"/>
  <c r="C17" i="2"/>
  <c r="C14" i="2"/>
  <c r="D5" i="2"/>
  <c r="D6" i="2"/>
  <c r="D7" i="2"/>
  <c r="D8" i="2"/>
  <c r="D9" i="2"/>
  <c r="D10" i="2"/>
  <c r="D11" i="2"/>
  <c r="C5" i="2"/>
  <c r="C6" i="2"/>
  <c r="C7" i="2"/>
  <c r="C8" i="2"/>
  <c r="C9" i="2"/>
  <c r="C10" i="2"/>
  <c r="C11" i="2"/>
  <c r="D13" i="2"/>
  <c r="C13" i="2"/>
  <c r="D3" i="2"/>
  <c r="D4" i="2"/>
  <c r="C3" i="2"/>
  <c r="C4" i="2"/>
  <c r="C2" i="2"/>
  <c r="D2" i="2"/>
</calcChain>
</file>

<file path=xl/sharedStrings.xml><?xml version="1.0" encoding="utf-8"?>
<sst xmlns="http://schemas.openxmlformats.org/spreadsheetml/2006/main" count="53" uniqueCount="31">
  <si>
    <t>Id</t>
    <phoneticPr fontId="1" type="noConversion"/>
  </si>
  <si>
    <t>Model</t>
    <phoneticPr fontId="1" type="noConversion"/>
  </si>
  <si>
    <t>StrName</t>
    <phoneticPr fontId="1" type="noConversion"/>
  </si>
  <si>
    <t>StrDesc</t>
    <phoneticPr fontId="1" type="noConversion"/>
  </si>
  <si>
    <t>Size</t>
    <phoneticPr fontId="1" type="noConversion"/>
  </si>
  <si>
    <t>Spd</t>
    <phoneticPr fontId="1" type="noConversion"/>
  </si>
  <si>
    <t>Hp</t>
    <phoneticPr fontId="1" type="noConversion"/>
  </si>
  <si>
    <t>Gold</t>
    <phoneticPr fontId="1" type="noConversion"/>
  </si>
  <si>
    <t>Skill</t>
    <phoneticPr fontId="1" type="noConversion"/>
  </si>
  <si>
    <t>Attr</t>
    <phoneticPr fontId="1" type="noConversion"/>
  </si>
  <si>
    <t>Green</t>
    <phoneticPr fontId="1" type="noConversion"/>
  </si>
  <si>
    <t>Red</t>
    <phoneticPr fontId="1" type="noConversion"/>
  </si>
  <si>
    <t>Blue</t>
    <phoneticPr fontId="1" type="noConversion"/>
  </si>
  <si>
    <t>Weight</t>
    <phoneticPr fontId="1" type="noConversion"/>
  </si>
  <si>
    <t>GoblinArcher</t>
    <phoneticPr fontId="1" type="noConversion"/>
  </si>
  <si>
    <t>GoblinKing</t>
    <phoneticPr fontId="1" type="noConversion"/>
  </si>
  <si>
    <t>GoblinBomber</t>
  </si>
  <si>
    <t>GoblinChampion</t>
  </si>
  <si>
    <t>GoblinDefander</t>
  </si>
  <si>
    <t>GoblinElite</t>
  </si>
  <si>
    <t>GoblinFlagBearer</t>
  </si>
  <si>
    <t>GoblinMage</t>
  </si>
  <si>
    <t>GoblinRaider</t>
  </si>
  <si>
    <t>GoblinReaper</t>
  </si>
  <si>
    <t>GoblinZombie</t>
  </si>
  <si>
    <t>GoblinChampionB</t>
    <phoneticPr fontId="1" type="noConversion"/>
  </si>
  <si>
    <t>GoblinMageB</t>
    <phoneticPr fontId="1" type="noConversion"/>
  </si>
  <si>
    <t>GoblinRaiderB</t>
    <phoneticPr fontId="1" type="noConversion"/>
  </si>
  <si>
    <t>GoblinReaperB</t>
    <phoneticPr fontId="1" type="noConversion"/>
  </si>
  <si>
    <t>GoblinKingB</t>
    <phoneticPr fontId="1" type="noConversion"/>
  </si>
  <si>
    <t>GoblinMage2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</si>
</sst>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L17"/>
  <sheetViews>
    <sheetView tabSelected="1" workbookViewId="0">
      <selection activeCell="F15" sqref="F15"/>
    </sheetView>
  </sheetViews>
  <sheetFormatPr defaultRowHeight="17.399999999999999" x14ac:dyDescent="0.4"/>
  <cols>
    <col min="1" max="1" width="43.59765625" customWidth="1"/>
    <col min="3" max="3" width="18.69921875" bestFit="1" customWidth="1"/>
    <col min="4" max="4" width="17.8984375" bestFit="1" customWidth="1"/>
    <col min="5" max="5" width="15.796875" bestFit="1" customWidth="1"/>
    <col min="6" max="6" width="13.19921875" customWidth="1"/>
    <col min="12" max="12" width="16.5" bestFit="1" customWidth="1"/>
  </cols>
  <sheetData>
    <row r="1" spans="2:12" ht="33.75" customHeight="1" x14ac:dyDescent="0.4">
      <c r="B1" t="s">
        <v>0</v>
      </c>
      <c r="C1" t="s">
        <v>2</v>
      </c>
      <c r="D1" t="s">
        <v>3</v>
      </c>
      <c r="E1" t="s">
        <v>1</v>
      </c>
      <c r="F1" t="s">
        <v>9</v>
      </c>
      <c r="G1" t="s">
        <v>4</v>
      </c>
      <c r="H1" t="s">
        <v>13</v>
      </c>
      <c r="I1" t="s">
        <v>6</v>
      </c>
      <c r="J1" t="s">
        <v>5</v>
      </c>
      <c r="K1" t="s">
        <v>7</v>
      </c>
      <c r="L1" t="s">
        <v>8</v>
      </c>
    </row>
    <row r="2" spans="2:12" x14ac:dyDescent="0.4">
      <c r="B2">
        <v>10001</v>
      </c>
      <c r="C2" t="str">
        <f>"enemy_name_"&amp;B2</f>
        <v>enemy_name_10001</v>
      </c>
      <c r="D2" t="str">
        <f>"enemy_desc_"&amp;B2</f>
        <v>enemy_desc_10001</v>
      </c>
      <c r="E2" t="s">
        <v>14</v>
      </c>
      <c r="F2" t="s">
        <v>10</v>
      </c>
      <c r="G2">
        <v>0.3</v>
      </c>
      <c r="H2">
        <v>1</v>
      </c>
      <c r="I2">
        <f>ROUND(IF(LEFT(B2,1)="2", 400, 200)*(1/J2)*G2,0)</f>
        <v>86</v>
      </c>
      <c r="J2">
        <v>0.7</v>
      </c>
      <c r="K2">
        <f>ROUND(G2*20, 0)</f>
        <v>6</v>
      </c>
    </row>
    <row r="3" spans="2:12" x14ac:dyDescent="0.4">
      <c r="B3">
        <v>10002</v>
      </c>
      <c r="C3" t="str">
        <f t="shared" ref="C3:C12" si="0">"enemy_name_"&amp;B3</f>
        <v>enemy_name_10002</v>
      </c>
      <c r="D3" t="str">
        <f t="shared" ref="D3:D12" si="1">"enemy_desc_"&amp;B3</f>
        <v>enemy_desc_10002</v>
      </c>
      <c r="E3" t="s">
        <v>19</v>
      </c>
      <c r="F3" t="s">
        <v>11</v>
      </c>
      <c r="G3">
        <v>0.5</v>
      </c>
      <c r="H3">
        <v>1</v>
      </c>
      <c r="I3">
        <f t="shared" ref="I3:I17" si="2">ROUND(IF(LEFT(B3,1)="2", 400, 200)*(1/J3)*G3,0)</f>
        <v>500</v>
      </c>
      <c r="J3">
        <v>0.2</v>
      </c>
      <c r="K3">
        <f t="shared" ref="K3:K17" si="3">ROUND(G3*20, 0)</f>
        <v>10</v>
      </c>
    </row>
    <row r="4" spans="2:12" x14ac:dyDescent="0.4">
      <c r="B4">
        <v>10003</v>
      </c>
      <c r="C4" t="str">
        <f t="shared" si="0"/>
        <v>enemy_name_10003</v>
      </c>
      <c r="D4" t="str">
        <f t="shared" si="1"/>
        <v>enemy_desc_10003</v>
      </c>
      <c r="E4" t="s">
        <v>17</v>
      </c>
      <c r="F4" t="s">
        <v>12</v>
      </c>
      <c r="G4">
        <v>0.5</v>
      </c>
      <c r="H4">
        <v>1</v>
      </c>
      <c r="I4">
        <f t="shared" si="2"/>
        <v>333</v>
      </c>
      <c r="J4">
        <v>0.3</v>
      </c>
      <c r="K4">
        <f t="shared" si="3"/>
        <v>10</v>
      </c>
      <c r="L4" t="s">
        <v>17</v>
      </c>
    </row>
    <row r="5" spans="2:12" x14ac:dyDescent="0.4">
      <c r="B5">
        <v>10004</v>
      </c>
      <c r="C5" t="str">
        <f t="shared" si="0"/>
        <v>enemy_name_10004</v>
      </c>
      <c r="D5" t="str">
        <f t="shared" si="1"/>
        <v>enemy_desc_10004</v>
      </c>
      <c r="E5" t="s">
        <v>18</v>
      </c>
      <c r="F5" t="s">
        <v>12</v>
      </c>
      <c r="G5">
        <v>0.6</v>
      </c>
      <c r="H5">
        <v>2</v>
      </c>
      <c r="I5">
        <f t="shared" si="2"/>
        <v>600</v>
      </c>
      <c r="J5">
        <v>0.2</v>
      </c>
      <c r="K5">
        <f t="shared" si="3"/>
        <v>12</v>
      </c>
      <c r="L5" t="s">
        <v>18</v>
      </c>
    </row>
    <row r="6" spans="2:12" x14ac:dyDescent="0.4">
      <c r="B6">
        <v>10005</v>
      </c>
      <c r="C6" t="str">
        <f t="shared" si="0"/>
        <v>enemy_name_10005</v>
      </c>
      <c r="D6" t="str">
        <f t="shared" si="1"/>
        <v>enemy_desc_10005</v>
      </c>
      <c r="E6" t="s">
        <v>21</v>
      </c>
      <c r="F6" t="s">
        <v>12</v>
      </c>
      <c r="G6">
        <v>0.4</v>
      </c>
      <c r="H6">
        <v>1</v>
      </c>
      <c r="I6">
        <f t="shared" si="2"/>
        <v>133</v>
      </c>
      <c r="J6">
        <v>0.6</v>
      </c>
      <c r="K6">
        <f t="shared" si="3"/>
        <v>8</v>
      </c>
      <c r="L6" t="s">
        <v>21</v>
      </c>
    </row>
    <row r="7" spans="2:12" x14ac:dyDescent="0.4">
      <c r="B7">
        <v>10006</v>
      </c>
      <c r="C7" t="str">
        <f t="shared" si="0"/>
        <v>enemy_name_10006</v>
      </c>
      <c r="D7" t="str">
        <f t="shared" si="1"/>
        <v>enemy_desc_10006</v>
      </c>
      <c r="E7" t="s">
        <v>20</v>
      </c>
      <c r="F7" t="s">
        <v>11</v>
      </c>
      <c r="G7">
        <v>0.4</v>
      </c>
      <c r="H7">
        <v>1</v>
      </c>
      <c r="I7">
        <f t="shared" si="2"/>
        <v>200</v>
      </c>
      <c r="J7">
        <v>0.4</v>
      </c>
      <c r="K7">
        <f t="shared" si="3"/>
        <v>8</v>
      </c>
      <c r="L7" t="s">
        <v>20</v>
      </c>
    </row>
    <row r="8" spans="2:12" x14ac:dyDescent="0.4">
      <c r="B8">
        <v>10007</v>
      </c>
      <c r="C8" t="str">
        <f t="shared" si="0"/>
        <v>enemy_name_10007</v>
      </c>
      <c r="D8" t="str">
        <f t="shared" si="1"/>
        <v>enemy_desc_10007</v>
      </c>
      <c r="E8" t="s">
        <v>16</v>
      </c>
      <c r="F8" t="s">
        <v>11</v>
      </c>
      <c r="G8">
        <v>0.4</v>
      </c>
      <c r="H8">
        <v>1</v>
      </c>
      <c r="I8">
        <f t="shared" si="2"/>
        <v>160</v>
      </c>
      <c r="J8">
        <v>0.5</v>
      </c>
      <c r="K8">
        <f t="shared" si="3"/>
        <v>8</v>
      </c>
    </row>
    <row r="9" spans="2:12" x14ac:dyDescent="0.4">
      <c r="B9">
        <v>10008</v>
      </c>
      <c r="C9" t="str">
        <f t="shared" si="0"/>
        <v>enemy_name_10008</v>
      </c>
      <c r="D9" t="str">
        <f t="shared" si="1"/>
        <v>enemy_desc_10008</v>
      </c>
      <c r="E9" t="s">
        <v>22</v>
      </c>
      <c r="F9" t="s">
        <v>10</v>
      </c>
      <c r="G9">
        <v>0.5</v>
      </c>
      <c r="H9">
        <v>1</v>
      </c>
      <c r="I9">
        <f t="shared" si="2"/>
        <v>100</v>
      </c>
      <c r="J9">
        <v>1</v>
      </c>
      <c r="K9">
        <f t="shared" si="3"/>
        <v>10</v>
      </c>
    </row>
    <row r="10" spans="2:12" x14ac:dyDescent="0.4">
      <c r="B10">
        <v>10009</v>
      </c>
      <c r="C10" t="str">
        <f t="shared" si="0"/>
        <v>enemy_name_10009</v>
      </c>
      <c r="D10" t="str">
        <f t="shared" si="1"/>
        <v>enemy_desc_10009</v>
      </c>
      <c r="E10" t="s">
        <v>23</v>
      </c>
      <c r="F10" t="s">
        <v>11</v>
      </c>
      <c r="G10">
        <v>0.35</v>
      </c>
      <c r="H10">
        <v>1</v>
      </c>
      <c r="I10">
        <f t="shared" si="2"/>
        <v>58</v>
      </c>
      <c r="J10">
        <v>1.2</v>
      </c>
      <c r="K10">
        <f t="shared" si="3"/>
        <v>7</v>
      </c>
    </row>
    <row r="11" spans="2:12" x14ac:dyDescent="0.4">
      <c r="B11">
        <v>10010</v>
      </c>
      <c r="C11" t="str">
        <f t="shared" si="0"/>
        <v>enemy_name_10010</v>
      </c>
      <c r="D11" t="str">
        <f t="shared" si="1"/>
        <v>enemy_desc_10010</v>
      </c>
      <c r="E11" t="s">
        <v>24</v>
      </c>
      <c r="F11" t="s">
        <v>11</v>
      </c>
      <c r="G11">
        <v>0.4</v>
      </c>
      <c r="H11">
        <v>1</v>
      </c>
      <c r="I11">
        <f t="shared" si="2"/>
        <v>267</v>
      </c>
      <c r="J11">
        <v>0.3</v>
      </c>
      <c r="K11">
        <f t="shared" si="3"/>
        <v>8</v>
      </c>
    </row>
    <row r="12" spans="2:12" x14ac:dyDescent="0.4">
      <c r="B12">
        <v>10011</v>
      </c>
      <c r="C12" t="str">
        <f t="shared" si="0"/>
        <v>enemy_name_10011</v>
      </c>
      <c r="D12" t="str">
        <f t="shared" si="1"/>
        <v>enemy_desc_10011</v>
      </c>
      <c r="E12" t="s">
        <v>21</v>
      </c>
      <c r="F12" t="s">
        <v>12</v>
      </c>
      <c r="G12">
        <v>0.6</v>
      </c>
      <c r="H12">
        <v>1</v>
      </c>
      <c r="I12">
        <f t="shared" si="2"/>
        <v>600</v>
      </c>
      <c r="J12">
        <v>0.2</v>
      </c>
      <c r="K12">
        <f t="shared" si="3"/>
        <v>12</v>
      </c>
      <c r="L12" t="s">
        <v>30</v>
      </c>
    </row>
    <row r="13" spans="2:12" x14ac:dyDescent="0.4">
      <c r="B13">
        <v>20001</v>
      </c>
      <c r="C13" t="str">
        <f>"enemy_name_"&amp;B13</f>
        <v>enemy_name_20001</v>
      </c>
      <c r="D13" t="str">
        <f>"enemy_desc_"&amp;B13</f>
        <v>enemy_desc_20001</v>
      </c>
      <c r="E13" t="s">
        <v>17</v>
      </c>
      <c r="F13" t="s">
        <v>12</v>
      </c>
      <c r="G13">
        <v>1</v>
      </c>
      <c r="H13">
        <v>1</v>
      </c>
      <c r="I13">
        <f t="shared" si="2"/>
        <v>1333</v>
      </c>
      <c r="J13">
        <v>0.3</v>
      </c>
      <c r="K13">
        <f t="shared" si="3"/>
        <v>20</v>
      </c>
      <c r="L13" t="s">
        <v>25</v>
      </c>
    </row>
    <row r="14" spans="2:12" x14ac:dyDescent="0.4">
      <c r="B14">
        <v>20002</v>
      </c>
      <c r="C14" t="str">
        <f>"enemy_name_"&amp;B14</f>
        <v>enemy_name_20002</v>
      </c>
      <c r="D14" t="str">
        <f t="shared" ref="D14:D17" si="4">"enemy_desc_"&amp;B14</f>
        <v>enemy_desc_20002</v>
      </c>
      <c r="E14" t="s">
        <v>21</v>
      </c>
      <c r="F14" t="s">
        <v>11</v>
      </c>
      <c r="G14">
        <v>1</v>
      </c>
      <c r="H14">
        <v>1</v>
      </c>
      <c r="I14">
        <f t="shared" si="2"/>
        <v>1333</v>
      </c>
      <c r="J14">
        <v>0.3</v>
      </c>
      <c r="K14">
        <f t="shared" si="3"/>
        <v>20</v>
      </c>
      <c r="L14" t="s">
        <v>26</v>
      </c>
    </row>
    <row r="15" spans="2:12" x14ac:dyDescent="0.4">
      <c r="B15">
        <v>20003</v>
      </c>
      <c r="C15" t="str">
        <f t="shared" ref="C15:C17" si="5">"enemy_name_"&amp;B15</f>
        <v>enemy_name_20003</v>
      </c>
      <c r="D15" t="str">
        <f t="shared" si="4"/>
        <v>enemy_desc_20003</v>
      </c>
      <c r="E15" t="s">
        <v>22</v>
      </c>
      <c r="F15" t="s">
        <v>10</v>
      </c>
      <c r="G15">
        <v>1</v>
      </c>
      <c r="H15">
        <v>1</v>
      </c>
      <c r="I15">
        <f t="shared" si="2"/>
        <v>1333</v>
      </c>
      <c r="J15">
        <v>0.3</v>
      </c>
      <c r="K15">
        <f t="shared" si="3"/>
        <v>20</v>
      </c>
      <c r="L15" t="s">
        <v>27</v>
      </c>
    </row>
    <row r="16" spans="2:12" x14ac:dyDescent="0.4">
      <c r="B16">
        <v>20004</v>
      </c>
      <c r="C16" t="str">
        <f t="shared" si="5"/>
        <v>enemy_name_20004</v>
      </c>
      <c r="D16" t="str">
        <f t="shared" si="4"/>
        <v>enemy_desc_20004</v>
      </c>
      <c r="E16" t="s">
        <v>23</v>
      </c>
      <c r="F16" t="s">
        <v>11</v>
      </c>
      <c r="G16">
        <v>1</v>
      </c>
      <c r="H16">
        <v>1</v>
      </c>
      <c r="I16">
        <f t="shared" si="2"/>
        <v>667</v>
      </c>
      <c r="J16">
        <v>0.6</v>
      </c>
      <c r="K16">
        <f t="shared" si="3"/>
        <v>20</v>
      </c>
      <c r="L16" t="s">
        <v>28</v>
      </c>
    </row>
    <row r="17" spans="2:12" x14ac:dyDescent="0.4">
      <c r="B17">
        <v>20005</v>
      </c>
      <c r="C17" t="str">
        <f t="shared" si="5"/>
        <v>enemy_name_20005</v>
      </c>
      <c r="D17" t="str">
        <f t="shared" si="4"/>
        <v>enemy_desc_20005</v>
      </c>
      <c r="E17" t="s">
        <v>15</v>
      </c>
      <c r="F17" t="s">
        <v>10</v>
      </c>
      <c r="G17">
        <v>1.2</v>
      </c>
      <c r="H17">
        <v>1</v>
      </c>
      <c r="I17">
        <f t="shared" si="2"/>
        <v>1600</v>
      </c>
      <c r="J17">
        <v>0.3</v>
      </c>
      <c r="K17">
        <f t="shared" si="3"/>
        <v>24</v>
      </c>
      <c r="L17" t="s">
        <v>29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B12" sqref="B12"/>
    </sheetView>
  </sheetViews>
  <sheetFormatPr defaultRowHeight="17.399999999999999" x14ac:dyDescent="0.4"/>
  <cols>
    <col min="1" max="16384" width="8.796875" style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2022-05-23T10:14:24Z</dcterms:modified>
</cp:coreProperties>
</file>