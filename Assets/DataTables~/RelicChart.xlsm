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DF07114C-172E-4781-8EA7-598ADE2B613D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컬럼명세" sheetId="3" r:id="rId2"/>
    <sheet name="시뮬레이션시트" sheetId="4" r:id="rId3"/>
  </sheets>
  <functionGroups builtInGroupCount="19"/>
  <externalReferences>
    <externalReference r:id="rId4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2" l="1"/>
  <c r="C11" i="2"/>
  <c r="L11" i="4"/>
  <c r="M11" i="4"/>
  <c r="C11" i="4" l="1"/>
  <c r="C12" i="4"/>
  <c r="N2" i="4"/>
  <c r="J30" i="4"/>
  <c r="L30" i="4"/>
  <c r="M30" i="4"/>
  <c r="M3" i="4"/>
  <c r="M4" i="4"/>
  <c r="M5" i="4"/>
  <c r="M6" i="4"/>
  <c r="M7" i="4"/>
  <c r="M8" i="4"/>
  <c r="M9" i="4"/>
  <c r="M10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2" i="4"/>
  <c r="L3" i="4"/>
  <c r="L4" i="4"/>
  <c r="L5" i="4"/>
  <c r="L6" i="4"/>
  <c r="L7" i="4"/>
  <c r="L8" i="4"/>
  <c r="L9" i="4"/>
  <c r="L10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2" i="4"/>
  <c r="J3" i="4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2" i="4"/>
  <c r="C2" i="4"/>
  <c r="D2" i="4"/>
  <c r="E2" i="4"/>
  <c r="F2" i="4"/>
  <c r="G2" i="4"/>
  <c r="H2" i="4"/>
  <c r="I2" i="4"/>
  <c r="C3" i="4"/>
  <c r="D3" i="4"/>
  <c r="E3" i="4"/>
  <c r="F3" i="4"/>
  <c r="N3" i="4" s="1"/>
  <c r="G3" i="4"/>
  <c r="H3" i="4"/>
  <c r="I3" i="4"/>
  <c r="C4" i="4"/>
  <c r="N4" i="4" s="1"/>
  <c r="D4" i="4"/>
  <c r="E4" i="4"/>
  <c r="F4" i="4"/>
  <c r="G4" i="4"/>
  <c r="H4" i="4"/>
  <c r="I4" i="4"/>
  <c r="C5" i="4"/>
  <c r="N5" i="4" s="1"/>
  <c r="D5" i="4"/>
  <c r="E5" i="4"/>
  <c r="F5" i="4"/>
  <c r="G5" i="4"/>
  <c r="H5" i="4"/>
  <c r="I5" i="4"/>
  <c r="C6" i="4"/>
  <c r="N6" i="4" s="1"/>
  <c r="D6" i="4"/>
  <c r="E6" i="4"/>
  <c r="F6" i="4"/>
  <c r="G6" i="4"/>
  <c r="H6" i="4"/>
  <c r="I6" i="4"/>
  <c r="C7" i="4"/>
  <c r="N7" i="4" s="1"/>
  <c r="D7" i="4"/>
  <c r="E7" i="4"/>
  <c r="F7" i="4"/>
  <c r="G7" i="4"/>
  <c r="H7" i="4"/>
  <c r="I7" i="4"/>
  <c r="C8" i="4"/>
  <c r="D8" i="4"/>
  <c r="E8" i="4"/>
  <c r="F8" i="4"/>
  <c r="G8" i="4"/>
  <c r="H8" i="4"/>
  <c r="I8" i="4"/>
  <c r="C9" i="4"/>
  <c r="N9" i="4" s="1"/>
  <c r="D9" i="4"/>
  <c r="E9" i="4"/>
  <c r="F9" i="4"/>
  <c r="G9" i="4"/>
  <c r="H9" i="4"/>
  <c r="I9" i="4"/>
  <c r="C10" i="4"/>
  <c r="D10" i="4"/>
  <c r="E10" i="4"/>
  <c r="F10" i="4"/>
  <c r="N10" i="4" s="1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N12" i="4" s="1"/>
  <c r="H12" i="4"/>
  <c r="I12" i="4"/>
  <c r="C13" i="4"/>
  <c r="D13" i="4"/>
  <c r="E13" i="4"/>
  <c r="F13" i="4"/>
  <c r="N13" i="4" s="1"/>
  <c r="G13" i="4"/>
  <c r="H13" i="4"/>
  <c r="I13" i="4"/>
  <c r="C14" i="4"/>
  <c r="D14" i="4"/>
  <c r="E14" i="4"/>
  <c r="F14" i="4"/>
  <c r="G14" i="4"/>
  <c r="H14" i="4"/>
  <c r="I14" i="4"/>
  <c r="C15" i="4"/>
  <c r="D15" i="4"/>
  <c r="E15" i="4"/>
  <c r="F15" i="4"/>
  <c r="N15" i="4" s="1"/>
  <c r="G15" i="4"/>
  <c r="H15" i="4"/>
  <c r="I15" i="4"/>
  <c r="C16" i="4"/>
  <c r="D16" i="4"/>
  <c r="E16" i="4"/>
  <c r="F16" i="4"/>
  <c r="N16" i="4" s="1"/>
  <c r="G16" i="4"/>
  <c r="H16" i="4"/>
  <c r="I16" i="4"/>
  <c r="C17" i="4"/>
  <c r="D17" i="4"/>
  <c r="E17" i="4"/>
  <c r="F17" i="4"/>
  <c r="N17" i="4" s="1"/>
  <c r="G17" i="4"/>
  <c r="H17" i="4"/>
  <c r="I17" i="4"/>
  <c r="C18" i="4"/>
  <c r="D18" i="4"/>
  <c r="E18" i="4"/>
  <c r="F18" i="4"/>
  <c r="G18" i="4"/>
  <c r="H18" i="4"/>
  <c r="I18" i="4"/>
  <c r="C19" i="4"/>
  <c r="D19" i="4"/>
  <c r="E19" i="4"/>
  <c r="F19" i="4"/>
  <c r="N19" i="4" s="1"/>
  <c r="G19" i="4"/>
  <c r="H19" i="4"/>
  <c r="I19" i="4"/>
  <c r="C20" i="4"/>
  <c r="D20" i="4"/>
  <c r="E20" i="4"/>
  <c r="F20" i="4"/>
  <c r="G20" i="4"/>
  <c r="H20" i="4"/>
  <c r="I20" i="4"/>
  <c r="C21" i="4"/>
  <c r="D21" i="4"/>
  <c r="E21" i="4"/>
  <c r="F21" i="4"/>
  <c r="G21" i="4"/>
  <c r="H21" i="4"/>
  <c r="I21" i="4"/>
  <c r="C22" i="4"/>
  <c r="D22" i="4"/>
  <c r="E22" i="4"/>
  <c r="F22" i="4"/>
  <c r="G22" i="4"/>
  <c r="H22" i="4"/>
  <c r="I22" i="4"/>
  <c r="C23" i="4"/>
  <c r="D23" i="4"/>
  <c r="E23" i="4"/>
  <c r="F23" i="4"/>
  <c r="G23" i="4"/>
  <c r="H23" i="4"/>
  <c r="I23" i="4"/>
  <c r="C24" i="4"/>
  <c r="D24" i="4"/>
  <c r="E24" i="4"/>
  <c r="F24" i="4"/>
  <c r="G24" i="4"/>
  <c r="H24" i="4"/>
  <c r="I24" i="4"/>
  <c r="C25" i="4"/>
  <c r="D25" i="4"/>
  <c r="E25" i="4"/>
  <c r="F25" i="4"/>
  <c r="G25" i="4"/>
  <c r="H25" i="4"/>
  <c r="I25" i="4"/>
  <c r="C26" i="4"/>
  <c r="D26" i="4"/>
  <c r="E26" i="4"/>
  <c r="F26" i="4"/>
  <c r="G26" i="4"/>
  <c r="H26" i="4"/>
  <c r="I26" i="4"/>
  <c r="C27" i="4"/>
  <c r="D27" i="4"/>
  <c r="E27" i="4"/>
  <c r="F27" i="4"/>
  <c r="G27" i="4"/>
  <c r="H27" i="4"/>
  <c r="I27" i="4"/>
  <c r="C28" i="4"/>
  <c r="D28" i="4"/>
  <c r="E28" i="4"/>
  <c r="F28" i="4"/>
  <c r="G28" i="4"/>
  <c r="H28" i="4"/>
  <c r="I28" i="4"/>
  <c r="C29" i="4"/>
  <c r="D29" i="4"/>
  <c r="E29" i="4"/>
  <c r="F29" i="4"/>
  <c r="G29" i="4"/>
  <c r="H29" i="4"/>
  <c r="I29" i="4"/>
  <c r="C30" i="4"/>
  <c r="D30" i="4"/>
  <c r="E30" i="4"/>
  <c r="F30" i="4"/>
  <c r="G30" i="4"/>
  <c r="H30" i="4"/>
  <c r="I30" i="4"/>
  <c r="I1" i="4"/>
  <c r="H1" i="4"/>
  <c r="G1" i="4"/>
  <c r="F1" i="4"/>
  <c r="E1" i="4"/>
  <c r="D1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1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1" i="4"/>
  <c r="D10" i="2"/>
  <c r="C10" i="2"/>
  <c r="C3" i="2"/>
  <c r="C4" i="2"/>
  <c r="C5" i="2"/>
  <c r="C6" i="2"/>
  <c r="C7" i="2"/>
  <c r="C8" i="2"/>
  <c r="C9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D3" i="2"/>
  <c r="D4" i="2"/>
  <c r="D5" i="2"/>
  <c r="D6" i="2"/>
  <c r="D7" i="2"/>
  <c r="D8" i="2"/>
  <c r="D9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2" i="2"/>
  <c r="C2" i="2"/>
  <c r="O25" i="4" l="1"/>
  <c r="O16" i="4"/>
  <c r="N30" i="4"/>
  <c r="O6" i="4"/>
  <c r="O24" i="4"/>
  <c r="O14" i="4"/>
  <c r="O9" i="4"/>
  <c r="O19" i="4"/>
  <c r="O13" i="4"/>
  <c r="O23" i="4"/>
  <c r="O18" i="4"/>
  <c r="O29" i="4"/>
  <c r="O2" i="4"/>
  <c r="O22" i="4"/>
  <c r="O5" i="4"/>
  <c r="O21" i="4"/>
  <c r="O4" i="4"/>
  <c r="O3" i="4"/>
  <c r="O15" i="4"/>
  <c r="O10" i="4"/>
  <c r="O8" i="4"/>
  <c r="N8" i="4"/>
  <c r="O20" i="4"/>
  <c r="O7" i="4"/>
  <c r="O17" i="4"/>
  <c r="O26" i="4"/>
  <c r="O28" i="4"/>
  <c r="N24" i="4"/>
  <c r="N23" i="4"/>
  <c r="N22" i="4"/>
  <c r="N21" i="4"/>
  <c r="N20" i="4"/>
  <c r="N18" i="4"/>
  <c r="N14" i="4"/>
  <c r="N27" i="4"/>
  <c r="O30" i="4"/>
  <c r="N28" i="4"/>
  <c r="N26" i="4"/>
  <c r="N29" i="4"/>
  <c r="O27" i="4"/>
  <c r="N25" i="4"/>
  <c r="N11" i="4"/>
  <c r="O11" i="4"/>
  <c r="O12" i="4"/>
</calcChain>
</file>

<file path=xl/sharedStrings.xml><?xml version="1.0" encoding="utf-8"?>
<sst xmlns="http://schemas.openxmlformats.org/spreadsheetml/2006/main" count="238" uniqueCount="135">
  <si>
    <t>Id</t>
    <phoneticPr fontId="1" type="noConversion"/>
  </si>
  <si>
    <t>Name</t>
    <phoneticPr fontId="1" type="noConversion"/>
  </si>
  <si>
    <t>MaxLv</t>
    <phoneticPr fontId="1" type="noConversion"/>
  </si>
  <si>
    <t>Effect</t>
    <phoneticPr fontId="1" type="noConversion"/>
  </si>
  <si>
    <t>LvUpCost</t>
    <phoneticPr fontId="1" type="noConversion"/>
  </si>
  <si>
    <t>LvUpCostIncRate</t>
    <phoneticPr fontId="1" type="noConversion"/>
  </si>
  <si>
    <t>Price</t>
    <phoneticPr fontId="1" type="noConversion"/>
  </si>
  <si>
    <t>Icon</t>
    <phoneticPr fontId="1" type="noConversion"/>
  </si>
  <si>
    <t>Desc</t>
    <phoneticPr fontId="1" type="noConversion"/>
  </si>
  <si>
    <t>PriceCostType</t>
    <phoneticPr fontId="1" type="noConversion"/>
  </si>
  <si>
    <t>Magicite</t>
    <phoneticPr fontId="1" type="noConversion"/>
  </si>
  <si>
    <t>SoulStone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</si>
  <si>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</si>
  <si>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</si>
  <si>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</si>
  <si>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</si>
  <si>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</si>
  <si>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</si>
  <si>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</si>
  <si>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string</t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</si>
  <si>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</si>
  <si>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float</t>
    <phoneticPr fontId="1" type="noConversion"/>
  </si>
  <si>
    <t>double</t>
    <phoneticPr fontId="1" type="noConversion"/>
  </si>
  <si>
    <t>유물명</t>
    <phoneticPr fontId="1" type="noConversion"/>
  </si>
  <si>
    <t>유물 설명</t>
    <phoneticPr fontId="1" type="noConversion"/>
  </si>
  <si>
    <t>유물 아이콘</t>
    <phoneticPr fontId="1" type="noConversion"/>
  </si>
  <si>
    <t>int</t>
    <phoneticPr fontId="1" type="noConversion"/>
  </si>
  <si>
    <t>해당 유물이 가질 효과</t>
    <phoneticPr fontId="1" type="noConversion"/>
  </si>
  <si>
    <r>
      <t xml:space="preserve">StatusEffectChart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</si>
  <si>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t>enum
Gold
Magicite
SoulStone</t>
    <phoneticPr fontId="1" type="noConversion"/>
  </si>
  <si>
    <t>유물의 구매 가격타입</t>
    <phoneticPr fontId="1" type="noConversion"/>
  </si>
  <si>
    <t>유물의 구매 가격값</t>
    <phoneticPr fontId="1" type="noConversion"/>
  </si>
  <si>
    <t>레벨업 코스트</t>
    <phoneticPr fontId="1" type="noConversion"/>
  </si>
  <si>
    <t>레벨업마다 레벨업 코스트에 곱해질 값</t>
    <phoneticPr fontId="1" type="noConversion"/>
  </si>
  <si>
    <t>LvUpCostType</t>
    <phoneticPr fontId="1" type="noConversion"/>
  </si>
  <si>
    <t>레벨업 코스트 타입</t>
    <phoneticPr fontId="1" type="noConversion"/>
  </si>
  <si>
    <t>유물의 최대 레벨 (0 이하면 최대 레벨 없음.)</t>
    <phoneticPr fontId="1" type="noConversion"/>
  </si>
  <si>
    <t>Relic1</t>
    <phoneticPr fontId="1" type="noConversion"/>
  </si>
  <si>
    <t>Relic2</t>
  </si>
  <si>
    <t>Relic3</t>
  </si>
  <si>
    <t>Relic4</t>
  </si>
  <si>
    <t>Relic5</t>
  </si>
  <si>
    <t>Relic6</t>
  </si>
  <si>
    <t>Relic7</t>
  </si>
  <si>
    <t>Relic8</t>
  </si>
  <si>
    <t>Relic9</t>
  </si>
  <si>
    <t>Relic10</t>
  </si>
  <si>
    <t>Relic11</t>
  </si>
  <si>
    <t>Relic12</t>
  </si>
  <si>
    <t>Relic13</t>
  </si>
  <si>
    <t>Relic14</t>
  </si>
  <si>
    <t>Relic15</t>
  </si>
  <si>
    <t>Relic16</t>
  </si>
  <si>
    <t>Relic17</t>
  </si>
  <si>
    <t>Relic18</t>
  </si>
  <si>
    <t>Relic19</t>
  </si>
  <si>
    <t>Relic20</t>
  </si>
  <si>
    <t>Loot_27</t>
  </si>
  <si>
    <t>LvUpCostIncValue</t>
    <phoneticPr fontId="1" type="noConversion"/>
  </si>
  <si>
    <t>Type</t>
    <phoneticPr fontId="1" type="noConversion"/>
  </si>
  <si>
    <t>Relic</t>
    <phoneticPr fontId="1" type="noConversion"/>
  </si>
  <si>
    <t>Castle</t>
    <phoneticPr fontId="1" type="noConversion"/>
  </si>
  <si>
    <t>Castle1</t>
    <phoneticPr fontId="1" type="noConversion"/>
  </si>
  <si>
    <t>Castle2</t>
  </si>
  <si>
    <t>Castle4</t>
  </si>
  <si>
    <t>Castle5</t>
  </si>
  <si>
    <t>Castle6</t>
  </si>
  <si>
    <t>Castle7</t>
  </si>
  <si>
    <t>Castle8</t>
  </si>
  <si>
    <t>Castle9</t>
  </si>
  <si>
    <t>Castle10</t>
  </si>
  <si>
    <t>SGI_146</t>
    <phoneticPr fontId="1" type="noConversion"/>
  </si>
  <si>
    <t>SGI_25</t>
  </si>
  <si>
    <t>SGI_addons_170</t>
    <phoneticPr fontId="1" type="noConversion"/>
  </si>
  <si>
    <t>SGI_13</t>
  </si>
  <si>
    <t>SGI_81</t>
  </si>
  <si>
    <t>SGI_144</t>
  </si>
  <si>
    <t>SGI_54</t>
  </si>
  <si>
    <t>SGI_94</t>
  </si>
  <si>
    <t>SGI_28</t>
  </si>
  <si>
    <t>05_a</t>
    <phoneticPr fontId="1" type="noConversion"/>
  </si>
  <si>
    <t>addons_06_t</t>
    <phoneticPr fontId="1" type="noConversion"/>
  </si>
  <si>
    <t>Dagger_v2_44</t>
    <phoneticPr fontId="1" type="noConversion"/>
  </si>
  <si>
    <t>Spear_v2_12</t>
    <phoneticPr fontId="1" type="noConversion"/>
  </si>
  <si>
    <t>Sword_v2_47</t>
    <phoneticPr fontId="1" type="noConversion"/>
  </si>
  <si>
    <t>Enchantment_37_demon_scroll</t>
    <phoneticPr fontId="1" type="noConversion"/>
  </si>
  <si>
    <t>Enchantment_39_mana_scroll</t>
    <phoneticPr fontId="1" type="noConversion"/>
  </si>
  <si>
    <t>Enchantment_36_green_scroll</t>
    <phoneticPr fontId="1" type="noConversion"/>
  </si>
  <si>
    <t>Enchantment_58_runecrystal</t>
    <phoneticPr fontId="1" type="noConversion"/>
  </si>
  <si>
    <t>Enchantment_57_runecrystal</t>
    <phoneticPr fontId="1" type="noConversion"/>
  </si>
  <si>
    <t>Enchantment_60_runecrystal</t>
    <phoneticPr fontId="1" type="noConversion"/>
  </si>
  <si>
    <t>Enchantment_44_book</t>
    <phoneticPr fontId="1" type="noConversion"/>
  </si>
  <si>
    <t>Enchantment_43_book</t>
    <phoneticPr fontId="1" type="noConversion"/>
  </si>
  <si>
    <t>Enchantment_42_book</t>
    <phoneticPr fontId="1" type="noConversion"/>
  </si>
  <si>
    <t>Jewelry_60_immortal_neck</t>
  </si>
  <si>
    <t>Jewelry_42_blueneck</t>
  </si>
  <si>
    <t>Jewelry_30_green_ring</t>
  </si>
  <si>
    <t>16_Cloth_Chest</t>
  </si>
  <si>
    <t>16_Mail_head</t>
    <phoneticPr fontId="1" type="noConversion"/>
  </si>
  <si>
    <t>효과</t>
    <phoneticPr fontId="1" type="noConversion"/>
  </si>
  <si>
    <t>효과수치 초항</t>
    <phoneticPr fontId="1" type="noConversion"/>
  </si>
  <si>
    <t>레벨업 증가치</t>
    <phoneticPr fontId="1" type="noConversion"/>
  </si>
  <si>
    <t>환생시 마석</t>
    <phoneticPr fontId="1" type="noConversion"/>
  </si>
  <si>
    <t>시작 스테이지</t>
    <phoneticPr fontId="1" type="noConversion"/>
  </si>
  <si>
    <t>오프라인 보상 증가량</t>
    <phoneticPr fontId="1" type="noConversion"/>
  </si>
  <si>
    <t>퀘스트 시간 감소</t>
    <phoneticPr fontId="1" type="noConversion"/>
  </si>
  <si>
    <t>퀘스트 보상 증가</t>
    <phoneticPr fontId="1" type="noConversion"/>
  </si>
  <si>
    <t>오프라인 보상 제한</t>
    <phoneticPr fontId="1" type="noConversion"/>
  </si>
  <si>
    <t>스킬 자동 시전</t>
    <phoneticPr fontId="1" type="noConversion"/>
  </si>
  <si>
    <t>해자 속도 감소</t>
    <phoneticPr fontId="1" type="noConversion"/>
  </si>
  <si>
    <t>탭공격 스킬 쿨감 확률</t>
    <phoneticPr fontId="1" type="noConversion"/>
  </si>
  <si>
    <t>적 처치 골드</t>
    <phoneticPr fontId="1" type="noConversion"/>
  </si>
  <si>
    <t>레벨업 골드 소모량 감소</t>
    <phoneticPr fontId="1" type="noConversion"/>
  </si>
  <si>
    <t>불영웅 공격</t>
    <phoneticPr fontId="1" type="noConversion"/>
  </si>
  <si>
    <t>물영웅 공격</t>
    <phoneticPr fontId="1" type="noConversion"/>
  </si>
  <si>
    <t>땅영웅 공격</t>
    <phoneticPr fontId="1" type="noConversion"/>
  </si>
  <si>
    <t>불영웅 공속</t>
    <phoneticPr fontId="1" type="noConversion"/>
  </si>
  <si>
    <t>물영웅 공속</t>
    <phoneticPr fontId="1" type="noConversion"/>
  </si>
  <si>
    <t>땅영웅 공속</t>
    <phoneticPr fontId="1" type="noConversion"/>
  </si>
  <si>
    <t>불영웅 치확</t>
    <phoneticPr fontId="1" type="noConversion"/>
  </si>
  <si>
    <t>물영웅 치확</t>
    <phoneticPr fontId="1" type="noConversion"/>
  </si>
  <si>
    <t>땅영웅 치확</t>
    <phoneticPr fontId="1" type="noConversion"/>
  </si>
  <si>
    <t>불영웅 치뎀</t>
    <phoneticPr fontId="1" type="noConversion"/>
  </si>
  <si>
    <t>물영웅 치뎀</t>
    <phoneticPr fontId="1" type="noConversion"/>
  </si>
  <si>
    <t>땅영웅 치뎀</t>
    <phoneticPr fontId="1" type="noConversion"/>
  </si>
  <si>
    <t>불적 HP 감소</t>
    <phoneticPr fontId="1" type="noConversion"/>
  </si>
  <si>
    <t>물적 HP 감소</t>
    <phoneticPr fontId="1" type="noConversion"/>
  </si>
  <si>
    <t>땅적 HP 감소</t>
    <phoneticPr fontId="1" type="noConversion"/>
  </si>
  <si>
    <t>불보스 HP 감소</t>
    <phoneticPr fontId="1" type="noConversion"/>
  </si>
  <si>
    <t>물보스 HP 감소</t>
    <phoneticPr fontId="1" type="noConversion"/>
  </si>
  <si>
    <t>땅보스 HP 감소</t>
    <phoneticPr fontId="1" type="noConversion"/>
  </si>
  <si>
    <t>누적 가격</t>
    <phoneticPr fontId="1" type="noConversion"/>
  </si>
  <si>
    <t>누적 효과</t>
    <phoneticPr fontId="1" type="noConversion"/>
  </si>
  <si>
    <t>Castle11</t>
    <phoneticPr fontId="1" type="noConversion"/>
  </si>
  <si>
    <t>SGI_35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</si>
</sst>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  <fill>
      <patternFill patternType="solid">
        <fgColor theme="9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3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8" fillId="0" borderId="2" xfId="1" applyFont="1" applyBorder="1" applyAlignment="1">
      <alignment horizontal="center" vertical="center" wrapText="1"/>
    </xf>
    <xf numFmtId="0" fontId="9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6" fillId="0" borderId="2" xfId="1" applyFont="1" applyBorder="1" applyAlignment="1">
      <alignment wrapText="1"/>
    </xf>
    <xf numFmtId="0" fontId="0" fillId="0" borderId="2" xfId="0" applyBorder="1" applyAlignment="1">
      <alignment vertical="center"/>
    </xf>
    <xf numFmtId="0" fontId="7" fillId="0" borderId="2" xfId="1" applyFont="1" applyBorder="1"/>
    <xf numFmtId="0" fontId="0" fillId="3" borderId="0" xfId="0" applyFill="1"/>
  </cellXfs>
  <cellStyles count="2">
    <cellStyle name="표준" xfId="0" builtinId="0"/>
    <cellStyle name="표준 2" xfId="1" xr:uid="{E257245F-F47E-4088-B3E1-76DAFF7A4BE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tusEffectChar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port"/>
      <sheetName val="설명"/>
      <sheetName val="ConditionParam"/>
      <sheetName val="TargetParam"/>
      <sheetName val="EffectParam"/>
    </sheetNames>
    <sheetDataSet>
      <sheetData sheetId="0">
        <row r="22">
          <cell r="O22" t="str">
            <v>Magicite</v>
          </cell>
          <cell r="R22">
            <v>5</v>
          </cell>
          <cell r="S22">
            <v>5</v>
          </cell>
        </row>
        <row r="23">
          <cell r="O23" t="str">
            <v>StartStage</v>
          </cell>
          <cell r="R23">
            <v>11</v>
          </cell>
          <cell r="S23">
            <v>10</v>
          </cell>
        </row>
        <row r="25">
          <cell r="O25" t="str">
            <v>Amount</v>
          </cell>
          <cell r="R25">
            <v>5</v>
          </cell>
          <cell r="S25">
            <v>5</v>
          </cell>
        </row>
        <row r="26">
          <cell r="O26" t="str">
            <v>Time</v>
          </cell>
          <cell r="R26">
            <v>30</v>
          </cell>
          <cell r="S26">
            <v>30</v>
          </cell>
        </row>
        <row r="27">
          <cell r="O27" t="str">
            <v>Reward</v>
          </cell>
          <cell r="R27">
            <v>5</v>
          </cell>
          <cell r="S27">
            <v>5</v>
          </cell>
        </row>
        <row r="28">
          <cell r="O28" t="str">
            <v>Time</v>
          </cell>
          <cell r="R28">
            <v>5</v>
          </cell>
          <cell r="S28">
            <v>5</v>
          </cell>
        </row>
        <row r="29">
          <cell r="O29" t="str">
            <v>AutoSkill</v>
          </cell>
          <cell r="R29">
            <v>0.5</v>
          </cell>
          <cell r="S29">
            <v>0.5</v>
          </cell>
        </row>
        <row r="30">
          <cell r="O30" t="str">
            <v>Moat</v>
          </cell>
          <cell r="R30">
            <v>5</v>
          </cell>
          <cell r="S30">
            <v>5</v>
          </cell>
        </row>
        <row r="31">
          <cell r="O31" t="str">
            <v>TouchSkillCool</v>
          </cell>
          <cell r="R31">
            <v>2.5</v>
          </cell>
          <cell r="S31">
            <v>0.5</v>
          </cell>
        </row>
        <row r="32">
          <cell r="O32" t="str">
            <v>AutoLvUp</v>
          </cell>
          <cell r="R32">
            <v>0</v>
          </cell>
        </row>
        <row r="33">
          <cell r="O33" t="str">
            <v>Gold</v>
          </cell>
          <cell r="R33">
            <v>2.5</v>
          </cell>
          <cell r="S33">
            <v>2.5</v>
          </cell>
        </row>
        <row r="34">
          <cell r="O34" t="str">
            <v>LvUpGold</v>
          </cell>
          <cell r="R34">
            <v>2</v>
          </cell>
          <cell r="S34">
            <v>2</v>
          </cell>
        </row>
        <row r="35">
          <cell r="O35" t="str">
            <v>Atk</v>
          </cell>
          <cell r="R35">
            <v>5</v>
          </cell>
          <cell r="S35">
            <v>5</v>
          </cell>
        </row>
        <row r="36">
          <cell r="O36" t="str">
            <v>Atk</v>
          </cell>
          <cell r="R36">
            <v>5</v>
          </cell>
          <cell r="S36">
            <v>5</v>
          </cell>
        </row>
        <row r="37">
          <cell r="O37" t="str">
            <v>Atk</v>
          </cell>
          <cell r="R37">
            <v>5</v>
          </cell>
          <cell r="S37">
            <v>5</v>
          </cell>
        </row>
        <row r="38">
          <cell r="O38" t="str">
            <v>Spd</v>
          </cell>
          <cell r="R38">
            <v>0.1</v>
          </cell>
          <cell r="S38">
            <v>0.1</v>
          </cell>
        </row>
        <row r="39">
          <cell r="O39" t="str">
            <v>Spd</v>
          </cell>
          <cell r="R39">
            <v>0.1</v>
          </cell>
          <cell r="S39">
            <v>0.1</v>
          </cell>
        </row>
        <row r="40">
          <cell r="O40" t="str">
            <v>Spd</v>
          </cell>
          <cell r="R40">
            <v>0.1</v>
          </cell>
          <cell r="S40">
            <v>0.1</v>
          </cell>
        </row>
        <row r="41">
          <cell r="O41" t="str">
            <v>CritChance</v>
          </cell>
          <cell r="R41">
            <v>0.1</v>
          </cell>
          <cell r="S41">
            <v>0.1</v>
          </cell>
        </row>
        <row r="42">
          <cell r="O42" t="str">
            <v>CritChance</v>
          </cell>
          <cell r="R42">
            <v>0.1</v>
          </cell>
          <cell r="S42">
            <v>0.1</v>
          </cell>
        </row>
        <row r="43">
          <cell r="O43" t="str">
            <v>CritChance</v>
          </cell>
          <cell r="R43">
            <v>0.1</v>
          </cell>
          <cell r="S43">
            <v>0.1</v>
          </cell>
        </row>
        <row r="44">
          <cell r="O44" t="str">
            <v>CritDmg</v>
          </cell>
          <cell r="R44">
            <v>1</v>
          </cell>
          <cell r="S44">
            <v>1</v>
          </cell>
        </row>
        <row r="45">
          <cell r="O45" t="str">
            <v>CritDmg</v>
          </cell>
          <cell r="R45">
            <v>1</v>
          </cell>
          <cell r="S45">
            <v>1</v>
          </cell>
        </row>
        <row r="46">
          <cell r="O46" t="str">
            <v>CritDmg</v>
          </cell>
          <cell r="R46">
            <v>1</v>
          </cell>
          <cell r="S46">
            <v>1</v>
          </cell>
        </row>
        <row r="47">
          <cell r="O47" t="str">
            <v>Hp</v>
          </cell>
          <cell r="R47">
            <v>0.5</v>
          </cell>
          <cell r="S47">
            <v>0.5</v>
          </cell>
        </row>
        <row r="48">
          <cell r="O48" t="str">
            <v>Hp</v>
          </cell>
          <cell r="R48">
            <v>0.5</v>
          </cell>
          <cell r="S48">
            <v>0.5</v>
          </cell>
        </row>
        <row r="49">
          <cell r="O49" t="str">
            <v>Hp</v>
          </cell>
          <cell r="R49">
            <v>0.5</v>
          </cell>
          <cell r="S49">
            <v>0.5</v>
          </cell>
        </row>
        <row r="50">
          <cell r="O50" t="str">
            <v>Hp</v>
          </cell>
          <cell r="R50">
            <v>0.5</v>
          </cell>
          <cell r="S50">
            <v>0.5</v>
          </cell>
        </row>
        <row r="51">
          <cell r="O51" t="str">
            <v>Hp</v>
          </cell>
          <cell r="R51">
            <v>0.5</v>
          </cell>
          <cell r="S51">
            <v>0.5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31"/>
  <sheetViews>
    <sheetView tabSelected="1" workbookViewId="0">
      <selection activeCell="I6" sqref="I6"/>
    </sheetView>
  </sheetViews>
  <sheetFormatPr defaultRowHeight="17.399999999999999"/>
  <cols>
    <col min="1" max="1" width="43.59765625" customWidth="1"/>
    <col min="3" max="3" width="20.69921875" bestFit="1" customWidth="1"/>
    <col min="4" max="4" width="20.59765625" customWidth="1"/>
    <col min="5" max="5" width="27.69921875" bestFit="1" customWidth="1"/>
    <col min="6" max="6" width="15.09765625" customWidth="1"/>
    <col min="8" max="9" width="13.09765625" customWidth="1"/>
    <col min="11" max="11" width="13.5" bestFit="1" customWidth="1"/>
    <col min="12" max="12" width="9.19921875" bestFit="1" customWidth="1"/>
    <col min="13" max="13" width="16.5" bestFit="1" customWidth="1"/>
    <col min="14" max="14" width="15.69921875" bestFit="1" customWidth="1"/>
  </cols>
  <sheetData>
    <row r="1" spans="2:14" ht="33.75" customHeight="1">
      <c r="B1" t="s">
        <v>0</v>
      </c>
      <c r="C1" t="s">
        <v>1</v>
      </c>
      <c r="D1" t="s">
        <v>8</v>
      </c>
      <c r="E1" t="s">
        <v>7</v>
      </c>
      <c r="F1" t="s">
        <v>59</v>
      </c>
      <c r="G1" t="s">
        <v>2</v>
      </c>
      <c r="H1" t="s">
        <v>3</v>
      </c>
      <c r="I1" t="s">
        <v>9</v>
      </c>
      <c r="J1" t="s">
        <v>6</v>
      </c>
      <c r="K1" t="s">
        <v>34</v>
      </c>
      <c r="L1" t="s">
        <v>4</v>
      </c>
      <c r="M1" t="s">
        <v>58</v>
      </c>
      <c r="N1" t="s">
        <v>5</v>
      </c>
    </row>
    <row r="2" spans="2:14">
      <c r="B2">
        <v>10001</v>
      </c>
      <c r="C2" t="str">
        <f>"str_name_"&amp;LOWER(F2)&amp;"_"&amp;B2</f>
        <v>str_name_castle_10001</v>
      </c>
      <c r="D2" t="str">
        <f>"str_desc_"&amp;LOWER(F2)&amp;"_"&amp;B2</f>
        <v>str_desc_castle_10001</v>
      </c>
      <c r="E2" t="s">
        <v>73</v>
      </c>
      <c r="F2" t="s">
        <v>61</v>
      </c>
      <c r="G2">
        <v>100</v>
      </c>
      <c r="H2" t="s">
        <v>62</v>
      </c>
      <c r="I2" t="s">
        <v>11</v>
      </c>
      <c r="J2">
        <v>100</v>
      </c>
      <c r="K2" t="s">
        <v>11</v>
      </c>
      <c r="L2">
        <v>100</v>
      </c>
    </row>
    <row r="3" spans="2:14">
      <c r="B3">
        <v>10002</v>
      </c>
      <c r="C3" t="str">
        <f>"str_name_"&amp;LOWER(F3)&amp;"_"&amp;B3</f>
        <v>str_name_castle_10002</v>
      </c>
      <c r="D3" t="str">
        <f>"str_desc_"&amp;LOWER(F3)&amp;"_"&amp;B3</f>
        <v>str_desc_castle_10002</v>
      </c>
      <c r="E3" t="s">
        <v>74</v>
      </c>
      <c r="F3" t="s">
        <v>61</v>
      </c>
      <c r="G3">
        <v>30</v>
      </c>
      <c r="H3" t="s">
        <v>63</v>
      </c>
      <c r="I3" t="s">
        <v>11</v>
      </c>
      <c r="J3">
        <v>500</v>
      </c>
      <c r="K3" t="s">
        <v>11</v>
      </c>
      <c r="L3">
        <v>500</v>
      </c>
    </row>
    <row r="4" spans="2:14">
      <c r="B4">
        <v>10004</v>
      </c>
      <c r="C4" t="str">
        <f t="shared" ref="C4:C31" si="0">"str_name_"&amp;LOWER(F4)&amp;"_"&amp;B4</f>
        <v>str_name_castle_10004</v>
      </c>
      <c r="D4" t="str">
        <f t="shared" ref="D4:D31" si="1">"str_desc_"&amp;LOWER(F4)&amp;"_"&amp;B4</f>
        <v>str_desc_castle_10004</v>
      </c>
      <c r="E4" t="s">
        <v>72</v>
      </c>
      <c r="F4" t="s">
        <v>61</v>
      </c>
      <c r="G4">
        <v>20</v>
      </c>
      <c r="H4" t="s">
        <v>64</v>
      </c>
      <c r="I4" t="s">
        <v>11</v>
      </c>
      <c r="J4">
        <v>100</v>
      </c>
      <c r="K4" t="s">
        <v>11</v>
      </c>
      <c r="L4">
        <v>100</v>
      </c>
      <c r="M4">
        <v>50</v>
      </c>
    </row>
    <row r="5" spans="2:14">
      <c r="B5">
        <v>10005</v>
      </c>
      <c r="C5" t="str">
        <f t="shared" si="0"/>
        <v>str_name_castle_10005</v>
      </c>
      <c r="D5" t="str">
        <f t="shared" si="1"/>
        <v>str_desc_castle_10005</v>
      </c>
      <c r="E5" t="s">
        <v>75</v>
      </c>
      <c r="F5" t="s">
        <v>61</v>
      </c>
      <c r="G5">
        <v>40</v>
      </c>
      <c r="H5" t="s">
        <v>65</v>
      </c>
      <c r="I5" t="s">
        <v>11</v>
      </c>
      <c r="J5">
        <v>100</v>
      </c>
      <c r="K5" t="s">
        <v>11</v>
      </c>
      <c r="L5">
        <v>100</v>
      </c>
      <c r="M5">
        <v>25</v>
      </c>
    </row>
    <row r="6" spans="2:14">
      <c r="B6">
        <v>10006</v>
      </c>
      <c r="C6" t="str">
        <f t="shared" si="0"/>
        <v>str_name_castle_10006</v>
      </c>
      <c r="D6" t="str">
        <f t="shared" si="1"/>
        <v>str_desc_castle_10006</v>
      </c>
      <c r="E6" t="s">
        <v>76</v>
      </c>
      <c r="F6" t="s">
        <v>61</v>
      </c>
      <c r="G6">
        <v>20</v>
      </c>
      <c r="H6" t="s">
        <v>66</v>
      </c>
      <c r="I6" t="s">
        <v>11</v>
      </c>
      <c r="J6">
        <v>200</v>
      </c>
      <c r="K6" t="s">
        <v>11</v>
      </c>
      <c r="L6">
        <v>200</v>
      </c>
      <c r="M6">
        <v>100</v>
      </c>
    </row>
    <row r="7" spans="2:14">
      <c r="B7">
        <v>10007</v>
      </c>
      <c r="C7" t="str">
        <f t="shared" si="0"/>
        <v>str_name_castle_10007</v>
      </c>
      <c r="D7" t="str">
        <f t="shared" si="1"/>
        <v>str_desc_castle_10007</v>
      </c>
      <c r="E7" t="s">
        <v>77</v>
      </c>
      <c r="F7" t="s">
        <v>61</v>
      </c>
      <c r="G7">
        <v>10</v>
      </c>
      <c r="H7" t="s">
        <v>67</v>
      </c>
      <c r="I7" t="s">
        <v>11</v>
      </c>
      <c r="J7">
        <v>250</v>
      </c>
      <c r="K7" t="s">
        <v>11</v>
      </c>
      <c r="L7">
        <v>250</v>
      </c>
      <c r="M7">
        <v>250</v>
      </c>
    </row>
    <row r="8" spans="2:14">
      <c r="B8">
        <v>10008</v>
      </c>
      <c r="C8" t="str">
        <f t="shared" si="0"/>
        <v>str_name_castle_10008</v>
      </c>
      <c r="D8" t="str">
        <f t="shared" si="1"/>
        <v>str_desc_castle_10008</v>
      </c>
      <c r="E8" t="s">
        <v>78</v>
      </c>
      <c r="F8" t="s">
        <v>61</v>
      </c>
      <c r="G8">
        <v>50</v>
      </c>
      <c r="H8" t="s">
        <v>68</v>
      </c>
      <c r="I8" t="s">
        <v>11</v>
      </c>
      <c r="J8">
        <v>100</v>
      </c>
      <c r="K8" t="s">
        <v>11</v>
      </c>
      <c r="L8">
        <v>100</v>
      </c>
      <c r="M8">
        <v>100</v>
      </c>
    </row>
    <row r="9" spans="2:14">
      <c r="B9">
        <v>10009</v>
      </c>
      <c r="C9" t="str">
        <f t="shared" si="0"/>
        <v>str_name_castle_10009</v>
      </c>
      <c r="D9" t="str">
        <f t="shared" si="1"/>
        <v>str_desc_castle_10009</v>
      </c>
      <c r="E9" t="s">
        <v>71</v>
      </c>
      <c r="F9" t="s">
        <v>61</v>
      </c>
      <c r="G9">
        <v>10</v>
      </c>
      <c r="H9" t="s">
        <v>69</v>
      </c>
      <c r="I9" t="s">
        <v>11</v>
      </c>
      <c r="J9">
        <v>100</v>
      </c>
      <c r="K9" t="s">
        <v>11</v>
      </c>
      <c r="L9">
        <v>150</v>
      </c>
      <c r="M9">
        <v>150</v>
      </c>
    </row>
    <row r="10" spans="2:14">
      <c r="B10">
        <v>10010</v>
      </c>
      <c r="C10" t="str">
        <f t="shared" si="0"/>
        <v>str_name_castle_10010</v>
      </c>
      <c r="D10" t="str">
        <f t="shared" si="1"/>
        <v>str_desc_castle_10010</v>
      </c>
      <c r="E10" t="s">
        <v>79</v>
      </c>
      <c r="F10" t="s">
        <v>61</v>
      </c>
      <c r="G10">
        <v>40</v>
      </c>
      <c r="H10" t="s">
        <v>70</v>
      </c>
      <c r="I10" t="s">
        <v>11</v>
      </c>
      <c r="J10">
        <v>200</v>
      </c>
      <c r="K10" t="s">
        <v>11</v>
      </c>
      <c r="L10">
        <v>200</v>
      </c>
    </row>
    <row r="11" spans="2:14">
      <c r="B11">
        <v>10011</v>
      </c>
      <c r="C11" t="str">
        <f t="shared" si="0"/>
        <v>str_name_castle_10011</v>
      </c>
      <c r="D11" t="str">
        <f t="shared" si="1"/>
        <v>str_desc_castle_10011</v>
      </c>
      <c r="E11" t="s">
        <v>134</v>
      </c>
      <c r="F11" t="s">
        <v>61</v>
      </c>
      <c r="G11">
        <v>1</v>
      </c>
      <c r="H11" t="s">
        <v>133</v>
      </c>
      <c r="I11" t="s">
        <v>11</v>
      </c>
      <c r="J11">
        <v>3000</v>
      </c>
      <c r="K11" t="s">
        <v>11</v>
      </c>
      <c r="L11">
        <v>200</v>
      </c>
    </row>
    <row r="12" spans="2:14">
      <c r="B12">
        <v>20001</v>
      </c>
      <c r="C12" t="str">
        <f t="shared" si="0"/>
        <v>str_name_relic_20001</v>
      </c>
      <c r="D12" t="str">
        <f t="shared" si="1"/>
        <v>str_desc_relic_20001</v>
      </c>
      <c r="E12" t="s">
        <v>80</v>
      </c>
      <c r="F12" t="s">
        <v>60</v>
      </c>
      <c r="G12">
        <v>100</v>
      </c>
      <c r="H12" t="s">
        <v>37</v>
      </c>
      <c r="I12" t="s">
        <v>10</v>
      </c>
      <c r="J12">
        <v>25</v>
      </c>
      <c r="K12" t="s">
        <v>10</v>
      </c>
      <c r="L12">
        <v>50</v>
      </c>
      <c r="N12">
        <v>2</v>
      </c>
    </row>
    <row r="13" spans="2:14">
      <c r="B13">
        <v>20002</v>
      </c>
      <c r="C13" t="str">
        <f t="shared" si="0"/>
        <v>str_name_relic_20002</v>
      </c>
      <c r="D13" t="str">
        <f t="shared" si="1"/>
        <v>str_desc_relic_20002</v>
      </c>
      <c r="E13" t="s">
        <v>81</v>
      </c>
      <c r="F13" t="s">
        <v>60</v>
      </c>
      <c r="G13">
        <v>40</v>
      </c>
      <c r="H13" t="s">
        <v>38</v>
      </c>
      <c r="I13" t="s">
        <v>10</v>
      </c>
      <c r="J13">
        <v>150</v>
      </c>
      <c r="K13" t="s">
        <v>10</v>
      </c>
      <c r="L13">
        <v>300</v>
      </c>
      <c r="N13">
        <v>2</v>
      </c>
    </row>
    <row r="14" spans="2:14">
      <c r="B14">
        <v>20003</v>
      </c>
      <c r="C14" t="str">
        <f t="shared" si="0"/>
        <v>str_name_relic_20003</v>
      </c>
      <c r="D14" t="str">
        <f t="shared" si="1"/>
        <v>str_desc_relic_20003</v>
      </c>
      <c r="E14" t="s">
        <v>82</v>
      </c>
      <c r="F14" t="s">
        <v>60</v>
      </c>
      <c r="G14">
        <v>9999</v>
      </c>
      <c r="H14" t="s">
        <v>39</v>
      </c>
      <c r="I14" t="s">
        <v>10</v>
      </c>
      <c r="J14">
        <v>30</v>
      </c>
      <c r="K14" t="s">
        <v>10</v>
      </c>
      <c r="L14">
        <v>120</v>
      </c>
      <c r="N14">
        <v>1.1000000000000001</v>
      </c>
    </row>
    <row r="15" spans="2:14">
      <c r="B15">
        <v>20004</v>
      </c>
      <c r="C15" t="str">
        <f t="shared" si="0"/>
        <v>str_name_relic_20004</v>
      </c>
      <c r="D15" t="str">
        <f t="shared" si="1"/>
        <v>str_desc_relic_20004</v>
      </c>
      <c r="E15" t="s">
        <v>83</v>
      </c>
      <c r="F15" t="s">
        <v>60</v>
      </c>
      <c r="G15">
        <v>9999</v>
      </c>
      <c r="H15" t="s">
        <v>40</v>
      </c>
      <c r="I15" t="s">
        <v>10</v>
      </c>
      <c r="J15">
        <v>30</v>
      </c>
      <c r="K15" t="s">
        <v>10</v>
      </c>
      <c r="L15">
        <v>120</v>
      </c>
      <c r="N15">
        <v>1.1000000000000001</v>
      </c>
    </row>
    <row r="16" spans="2:14">
      <c r="B16">
        <v>20005</v>
      </c>
      <c r="C16" t="str">
        <f t="shared" si="0"/>
        <v>str_name_relic_20005</v>
      </c>
      <c r="D16" t="str">
        <f t="shared" si="1"/>
        <v>str_desc_relic_20005</v>
      </c>
      <c r="E16" t="s">
        <v>84</v>
      </c>
      <c r="F16" t="s">
        <v>60</v>
      </c>
      <c r="G16">
        <v>9999</v>
      </c>
      <c r="H16" t="s">
        <v>41</v>
      </c>
      <c r="I16" t="s">
        <v>10</v>
      </c>
      <c r="J16">
        <v>30</v>
      </c>
      <c r="K16" t="s">
        <v>10</v>
      </c>
      <c r="L16">
        <v>120</v>
      </c>
      <c r="N16">
        <v>1.1000000000000001</v>
      </c>
    </row>
    <row r="17" spans="2:14">
      <c r="B17">
        <v>20006</v>
      </c>
      <c r="C17" t="str">
        <f t="shared" si="0"/>
        <v>str_name_relic_20006</v>
      </c>
      <c r="D17" t="str">
        <f t="shared" si="1"/>
        <v>str_desc_relic_20006</v>
      </c>
      <c r="E17" t="s">
        <v>57</v>
      </c>
      <c r="F17" t="s">
        <v>60</v>
      </c>
      <c r="G17">
        <v>250</v>
      </c>
      <c r="H17" t="s">
        <v>42</v>
      </c>
      <c r="I17" t="s">
        <v>10</v>
      </c>
      <c r="J17">
        <v>40</v>
      </c>
      <c r="K17" t="s">
        <v>10</v>
      </c>
      <c r="L17">
        <v>110</v>
      </c>
      <c r="N17">
        <v>1.2</v>
      </c>
    </row>
    <row r="18" spans="2:14">
      <c r="B18">
        <v>20007</v>
      </c>
      <c r="C18" t="str">
        <f t="shared" si="0"/>
        <v>str_name_relic_20007</v>
      </c>
      <c r="D18" t="str">
        <f t="shared" si="1"/>
        <v>str_desc_relic_20007</v>
      </c>
      <c r="E18" t="s">
        <v>97</v>
      </c>
      <c r="F18" t="s">
        <v>60</v>
      </c>
      <c r="G18">
        <v>250</v>
      </c>
      <c r="H18" t="s">
        <v>43</v>
      </c>
      <c r="I18" t="s">
        <v>10</v>
      </c>
      <c r="J18">
        <v>40</v>
      </c>
      <c r="K18" t="s">
        <v>10</v>
      </c>
      <c r="L18">
        <v>110</v>
      </c>
      <c r="N18">
        <v>1.2</v>
      </c>
    </row>
    <row r="19" spans="2:14">
      <c r="B19">
        <v>20008</v>
      </c>
      <c r="C19" t="str">
        <f t="shared" si="0"/>
        <v>str_name_relic_20008</v>
      </c>
      <c r="D19" t="str">
        <f t="shared" si="1"/>
        <v>str_desc_relic_20008</v>
      </c>
      <c r="E19" t="s">
        <v>98</v>
      </c>
      <c r="F19" t="s">
        <v>60</v>
      </c>
      <c r="G19">
        <v>250</v>
      </c>
      <c r="H19" t="s">
        <v>44</v>
      </c>
      <c r="I19" t="s">
        <v>10</v>
      </c>
      <c r="J19">
        <v>40</v>
      </c>
      <c r="K19" t="s">
        <v>10</v>
      </c>
      <c r="L19">
        <v>110</v>
      </c>
      <c r="N19">
        <v>1.2</v>
      </c>
    </row>
    <row r="20" spans="2:14">
      <c r="B20">
        <v>20009</v>
      </c>
      <c r="C20" t="str">
        <f t="shared" si="0"/>
        <v>str_name_relic_20009</v>
      </c>
      <c r="D20" t="str">
        <f t="shared" si="1"/>
        <v>str_desc_relic_20009</v>
      </c>
      <c r="E20" t="s">
        <v>94</v>
      </c>
      <c r="F20" t="s">
        <v>60</v>
      </c>
      <c r="G20">
        <v>500</v>
      </c>
      <c r="H20" t="s">
        <v>45</v>
      </c>
      <c r="I20" t="s">
        <v>10</v>
      </c>
      <c r="J20">
        <v>60</v>
      </c>
      <c r="K20" t="s">
        <v>10</v>
      </c>
      <c r="L20">
        <v>120</v>
      </c>
      <c r="N20">
        <v>1.1000000000000001</v>
      </c>
    </row>
    <row r="21" spans="2:14">
      <c r="B21">
        <v>20010</v>
      </c>
      <c r="C21" t="str">
        <f t="shared" si="0"/>
        <v>str_name_relic_20010</v>
      </c>
      <c r="D21" t="str">
        <f t="shared" si="1"/>
        <v>str_desc_relic_20010</v>
      </c>
      <c r="E21" t="s">
        <v>95</v>
      </c>
      <c r="F21" t="s">
        <v>60</v>
      </c>
      <c r="G21">
        <v>500</v>
      </c>
      <c r="H21" t="s">
        <v>46</v>
      </c>
      <c r="I21" t="s">
        <v>10</v>
      </c>
      <c r="J21">
        <v>60</v>
      </c>
      <c r="K21" t="s">
        <v>10</v>
      </c>
      <c r="L21">
        <v>120</v>
      </c>
      <c r="N21">
        <v>1.1000000000000001</v>
      </c>
    </row>
    <row r="22" spans="2:14">
      <c r="B22">
        <v>20011</v>
      </c>
      <c r="C22" t="str">
        <f t="shared" si="0"/>
        <v>str_name_relic_20011</v>
      </c>
      <c r="D22" t="str">
        <f t="shared" si="1"/>
        <v>str_desc_relic_20011</v>
      </c>
      <c r="E22" t="s">
        <v>96</v>
      </c>
      <c r="F22" t="s">
        <v>60</v>
      </c>
      <c r="G22">
        <v>500</v>
      </c>
      <c r="H22" t="s">
        <v>47</v>
      </c>
      <c r="I22" t="s">
        <v>10</v>
      </c>
      <c r="J22">
        <v>60</v>
      </c>
      <c r="K22" t="s">
        <v>10</v>
      </c>
      <c r="L22">
        <v>120</v>
      </c>
      <c r="N22">
        <v>1.1000000000000001</v>
      </c>
    </row>
    <row r="23" spans="2:14">
      <c r="B23">
        <v>20012</v>
      </c>
      <c r="C23" t="str">
        <f t="shared" si="0"/>
        <v>str_name_relic_20012</v>
      </c>
      <c r="D23" t="str">
        <f t="shared" si="1"/>
        <v>str_desc_relic_20012</v>
      </c>
      <c r="E23" t="s">
        <v>88</v>
      </c>
      <c r="F23" t="s">
        <v>60</v>
      </c>
      <c r="G23">
        <v>500</v>
      </c>
      <c r="H23" t="s">
        <v>48</v>
      </c>
      <c r="I23" t="s">
        <v>10</v>
      </c>
      <c r="J23">
        <v>30</v>
      </c>
      <c r="K23" t="s">
        <v>10</v>
      </c>
      <c r="L23">
        <v>110</v>
      </c>
      <c r="N23">
        <v>1.1000000000000001</v>
      </c>
    </row>
    <row r="24" spans="2:14">
      <c r="B24">
        <v>20013</v>
      </c>
      <c r="C24" t="str">
        <f t="shared" si="0"/>
        <v>str_name_relic_20013</v>
      </c>
      <c r="D24" t="str">
        <f t="shared" si="1"/>
        <v>str_desc_relic_20013</v>
      </c>
      <c r="E24" t="s">
        <v>89</v>
      </c>
      <c r="F24" t="s">
        <v>60</v>
      </c>
      <c r="G24">
        <v>500</v>
      </c>
      <c r="H24" t="s">
        <v>49</v>
      </c>
      <c r="I24" t="s">
        <v>10</v>
      </c>
      <c r="J24">
        <v>30</v>
      </c>
      <c r="K24" t="s">
        <v>10</v>
      </c>
      <c r="L24">
        <v>110</v>
      </c>
      <c r="N24">
        <v>1.1000000000000001</v>
      </c>
    </row>
    <row r="25" spans="2:14">
      <c r="B25">
        <v>20014</v>
      </c>
      <c r="C25" t="str">
        <f t="shared" si="0"/>
        <v>str_name_relic_20014</v>
      </c>
      <c r="D25" t="str">
        <f t="shared" si="1"/>
        <v>str_desc_relic_20014</v>
      </c>
      <c r="E25" t="s">
        <v>90</v>
      </c>
      <c r="F25" t="s">
        <v>60</v>
      </c>
      <c r="G25">
        <v>500</v>
      </c>
      <c r="H25" t="s">
        <v>50</v>
      </c>
      <c r="I25" t="s">
        <v>10</v>
      </c>
      <c r="J25">
        <v>30</v>
      </c>
      <c r="K25" t="s">
        <v>10</v>
      </c>
      <c r="L25">
        <v>110</v>
      </c>
      <c r="N25">
        <v>1.1000000000000001</v>
      </c>
    </row>
    <row r="26" spans="2:14">
      <c r="B26">
        <v>20015</v>
      </c>
      <c r="C26" t="str">
        <f t="shared" si="0"/>
        <v>str_name_relic_20015</v>
      </c>
      <c r="D26" t="str">
        <f t="shared" si="1"/>
        <v>str_desc_relic_20015</v>
      </c>
      <c r="E26" t="s">
        <v>91</v>
      </c>
      <c r="F26" t="s">
        <v>60</v>
      </c>
      <c r="G26">
        <v>50</v>
      </c>
      <c r="H26" t="s">
        <v>51</v>
      </c>
      <c r="I26" t="s">
        <v>10</v>
      </c>
      <c r="J26">
        <v>25</v>
      </c>
      <c r="K26" t="s">
        <v>10</v>
      </c>
      <c r="L26">
        <v>125</v>
      </c>
      <c r="N26">
        <v>2</v>
      </c>
    </row>
    <row r="27" spans="2:14">
      <c r="B27">
        <v>20016</v>
      </c>
      <c r="C27" t="str">
        <f t="shared" si="0"/>
        <v>str_name_relic_20016</v>
      </c>
      <c r="D27" t="str">
        <f t="shared" si="1"/>
        <v>str_desc_relic_20016</v>
      </c>
      <c r="E27" t="s">
        <v>92</v>
      </c>
      <c r="F27" t="s">
        <v>60</v>
      </c>
      <c r="G27">
        <v>50</v>
      </c>
      <c r="H27" t="s">
        <v>52</v>
      </c>
      <c r="I27" t="s">
        <v>10</v>
      </c>
      <c r="J27">
        <v>25</v>
      </c>
      <c r="K27" t="s">
        <v>10</v>
      </c>
      <c r="L27">
        <v>125</v>
      </c>
      <c r="N27">
        <v>2</v>
      </c>
    </row>
    <row r="28" spans="2:14">
      <c r="B28">
        <v>20017</v>
      </c>
      <c r="C28" t="str">
        <f t="shared" si="0"/>
        <v>str_name_relic_20017</v>
      </c>
      <c r="D28" t="str">
        <f t="shared" si="1"/>
        <v>str_desc_relic_20017</v>
      </c>
      <c r="E28" t="s">
        <v>93</v>
      </c>
      <c r="F28" t="s">
        <v>60</v>
      </c>
      <c r="G28">
        <v>50</v>
      </c>
      <c r="H28" t="s">
        <v>53</v>
      </c>
      <c r="I28" t="s">
        <v>10</v>
      </c>
      <c r="J28">
        <v>25</v>
      </c>
      <c r="K28" t="s">
        <v>10</v>
      </c>
      <c r="L28">
        <v>125</v>
      </c>
      <c r="N28">
        <v>2</v>
      </c>
    </row>
    <row r="29" spans="2:14">
      <c r="B29">
        <v>20018</v>
      </c>
      <c r="C29" t="str">
        <f t="shared" si="0"/>
        <v>str_name_relic_20018</v>
      </c>
      <c r="D29" t="str">
        <f t="shared" si="1"/>
        <v>str_desc_relic_20018</v>
      </c>
      <c r="E29" t="s">
        <v>85</v>
      </c>
      <c r="F29" t="s">
        <v>60</v>
      </c>
      <c r="G29">
        <v>50</v>
      </c>
      <c r="H29" t="s">
        <v>54</v>
      </c>
      <c r="I29" t="s">
        <v>10</v>
      </c>
      <c r="J29">
        <v>25</v>
      </c>
      <c r="K29" t="s">
        <v>10</v>
      </c>
      <c r="L29">
        <v>125</v>
      </c>
      <c r="N29">
        <v>2</v>
      </c>
    </row>
    <row r="30" spans="2:14">
      <c r="B30">
        <v>20019</v>
      </c>
      <c r="C30" t="str">
        <f t="shared" si="0"/>
        <v>str_name_relic_20019</v>
      </c>
      <c r="D30" t="str">
        <f t="shared" si="1"/>
        <v>str_desc_relic_20019</v>
      </c>
      <c r="E30" t="s">
        <v>86</v>
      </c>
      <c r="F30" t="s">
        <v>60</v>
      </c>
      <c r="G30">
        <v>50</v>
      </c>
      <c r="H30" t="s">
        <v>55</v>
      </c>
      <c r="I30" t="s">
        <v>10</v>
      </c>
      <c r="J30">
        <v>25</v>
      </c>
      <c r="K30" t="s">
        <v>10</v>
      </c>
      <c r="L30">
        <v>125</v>
      </c>
      <c r="N30">
        <v>2</v>
      </c>
    </row>
    <row r="31" spans="2:14">
      <c r="B31">
        <v>20020</v>
      </c>
      <c r="C31" t="str">
        <f t="shared" si="0"/>
        <v>str_name_relic_20020</v>
      </c>
      <c r="D31" t="str">
        <f t="shared" si="1"/>
        <v>str_desc_relic_20020</v>
      </c>
      <c r="E31" t="s">
        <v>87</v>
      </c>
      <c r="F31" t="s">
        <v>60</v>
      </c>
      <c r="G31">
        <v>50</v>
      </c>
      <c r="H31" t="s">
        <v>56</v>
      </c>
      <c r="I31" t="s">
        <v>10</v>
      </c>
      <c r="J31">
        <v>25</v>
      </c>
      <c r="K31" t="s">
        <v>10</v>
      </c>
      <c r="L31">
        <v>125</v>
      </c>
      <c r="N31">
        <v>2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3"/>
  <sheetViews>
    <sheetView workbookViewId="0">
      <selection activeCell="D8" sqref="D8"/>
    </sheetView>
  </sheetViews>
  <sheetFormatPr defaultColWidth="8.69921875" defaultRowHeight="17.399999999999999"/>
  <cols>
    <col min="1" max="1" width="8.69921875" style="1"/>
    <col min="2" max="2" width="16.09765625" style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40.8984375" style="1" customWidth="1"/>
    <col min="7" max="16384" width="8.69921875" style="1"/>
  </cols>
  <sheetData>
    <row r="2" spans="2:6">
      <c r="B2" s="2" t="s">
        <v>12</v>
      </c>
      <c r="C2" s="3" t="s">
        <v>13</v>
      </c>
      <c r="D2" s="3" t="s">
        <v>14</v>
      </c>
      <c r="E2" s="3" t="s">
        <v>15</v>
      </c>
      <c r="F2" s="3" t="s">
        <v>16</v>
      </c>
    </row>
    <row r="3" spans="2:6">
      <c r="B3" s="4" t="s">
        <v>0</v>
      </c>
      <c r="C3" s="5" t="s">
        <v>17</v>
      </c>
      <c r="D3" s="6"/>
      <c r="E3" s="7" t="s">
        <v>18</v>
      </c>
      <c r="F3" s="8"/>
    </row>
    <row r="4" spans="2:6">
      <c r="B4" s="4" t="s">
        <v>1</v>
      </c>
      <c r="C4" s="9" t="s">
        <v>19</v>
      </c>
      <c r="D4" s="6"/>
      <c r="E4" s="19" t="s">
        <v>23</v>
      </c>
      <c r="F4" s="11" t="s">
        <v>20</v>
      </c>
    </row>
    <row r="5" spans="2:6">
      <c r="B5" s="4" t="s">
        <v>8</v>
      </c>
      <c r="C5" s="12" t="s">
        <v>19</v>
      </c>
      <c r="D5" s="13"/>
      <c r="E5" s="19" t="s">
        <v>24</v>
      </c>
      <c r="F5" s="8" t="s">
        <v>20</v>
      </c>
    </row>
    <row r="6" spans="2:6">
      <c r="B6" s="4" t="s">
        <v>7</v>
      </c>
      <c r="C6" s="9" t="s">
        <v>19</v>
      </c>
      <c r="D6" s="6"/>
      <c r="E6" s="19" t="s">
        <v>25</v>
      </c>
      <c r="F6" s="8"/>
    </row>
    <row r="7" spans="2:6">
      <c r="B7" s="4" t="s">
        <v>2</v>
      </c>
      <c r="C7" s="9" t="s">
        <v>26</v>
      </c>
      <c r="D7" s="13">
        <v>0</v>
      </c>
      <c r="E7" s="10" t="s">
        <v>36</v>
      </c>
      <c r="F7" s="8"/>
    </row>
    <row r="8" spans="2:6">
      <c r="B8" s="4" t="s">
        <v>3</v>
      </c>
      <c r="C8" s="9" t="s">
        <v>19</v>
      </c>
      <c r="D8" s="14"/>
      <c r="E8" s="15" t="s">
        <v>27</v>
      </c>
      <c r="F8" s="8" t="s">
        <v>28</v>
      </c>
    </row>
    <row r="9" spans="2:6" ht="57.6">
      <c r="B9" s="4" t="s">
        <v>9</v>
      </c>
      <c r="C9" s="9" t="s">
        <v>29</v>
      </c>
      <c r="D9" s="13"/>
      <c r="E9" s="16" t="s">
        <v>30</v>
      </c>
      <c r="F9" s="8"/>
    </row>
    <row r="10" spans="2:6">
      <c r="B10" s="4" t="s">
        <v>6</v>
      </c>
      <c r="C10" s="9" t="s">
        <v>22</v>
      </c>
      <c r="D10" s="13"/>
      <c r="E10" s="16" t="s">
        <v>31</v>
      </c>
      <c r="F10" s="8"/>
    </row>
    <row r="11" spans="2:6" ht="57.6">
      <c r="B11" s="4" t="s">
        <v>34</v>
      </c>
      <c r="C11" s="9" t="s">
        <v>29</v>
      </c>
      <c r="D11" s="13"/>
      <c r="E11" s="16" t="s">
        <v>35</v>
      </c>
      <c r="F11" s="8"/>
    </row>
    <row r="12" spans="2:6">
      <c r="B12" s="4" t="s">
        <v>4</v>
      </c>
      <c r="C12" s="17" t="s">
        <v>22</v>
      </c>
      <c r="D12" s="18"/>
      <c r="E12" s="19" t="s">
        <v>32</v>
      </c>
      <c r="F12" s="21"/>
    </row>
    <row r="13" spans="2:6">
      <c r="B13" s="4" t="s">
        <v>5</v>
      </c>
      <c r="C13" s="20" t="s">
        <v>21</v>
      </c>
      <c r="D13" s="20"/>
      <c r="E13" s="20" t="s">
        <v>33</v>
      </c>
      <c r="F13" s="2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29CA2-D4BE-4C91-AA88-E7C1B66B2457}">
  <dimension ref="A1:O30"/>
  <sheetViews>
    <sheetView workbookViewId="0">
      <selection activeCell="L11" sqref="L11"/>
    </sheetView>
  </sheetViews>
  <sheetFormatPr defaultRowHeight="17.399999999999999"/>
  <cols>
    <col min="1" max="1" width="6.5" bestFit="1" customWidth="1"/>
    <col min="2" max="2" width="6.59765625" bestFit="1" customWidth="1"/>
    <col min="3" max="3" width="6.8984375" bestFit="1" customWidth="1"/>
    <col min="4" max="4" width="8.59765625" bestFit="1" customWidth="1"/>
    <col min="5" max="5" width="13.69921875" bestFit="1" customWidth="1"/>
    <col min="6" max="6" width="5.59765625" bestFit="1" customWidth="1"/>
    <col min="7" max="7" width="9.5" bestFit="1" customWidth="1"/>
    <col min="8" max="8" width="17.59765625" bestFit="1" customWidth="1"/>
    <col min="9" max="9" width="16.3984375" bestFit="1" customWidth="1"/>
    <col min="10" max="10" width="14.69921875" bestFit="1" customWidth="1"/>
    <col min="11" max="11" width="26.19921875" bestFit="1" customWidth="1"/>
    <col min="12" max="13" width="13.69921875" bestFit="1" customWidth="1"/>
  </cols>
  <sheetData>
    <row r="1" spans="1:15">
      <c r="A1" t="str">
        <f>Export!B1</f>
        <v>Id</v>
      </c>
      <c r="B1" t="str">
        <f>Export!F1</f>
        <v>Type</v>
      </c>
      <c r="C1" t="str">
        <f>Export!G1</f>
        <v>MaxLv</v>
      </c>
      <c r="D1" t="str">
        <f>Export!H1</f>
        <v>Effect</v>
      </c>
      <c r="E1" t="str">
        <f>Export!I1</f>
        <v>PriceCostType</v>
      </c>
      <c r="F1" t="str">
        <f>Export!J1</f>
        <v>Price</v>
      </c>
      <c r="G1" t="str">
        <f>Export!L1</f>
        <v>LvUpCost</v>
      </c>
      <c r="H1" t="str">
        <f>Export!M1</f>
        <v>LvUpCostIncValue</v>
      </c>
      <c r="I1" t="str">
        <f>Export!N1</f>
        <v>LvUpCostIncRate</v>
      </c>
      <c r="J1" t="s">
        <v>99</v>
      </c>
      <c r="L1" t="s">
        <v>100</v>
      </c>
      <c r="M1" t="s">
        <v>101</v>
      </c>
      <c r="N1" t="s">
        <v>131</v>
      </c>
      <c r="O1" t="s">
        <v>132</v>
      </c>
    </row>
    <row r="2" spans="1:15">
      <c r="A2">
        <f>Export!B2</f>
        <v>10001</v>
      </c>
      <c r="B2" t="str">
        <f>Export!F2</f>
        <v>Castle</v>
      </c>
      <c r="C2">
        <f>Export!G2</f>
        <v>100</v>
      </c>
      <c r="D2" t="str">
        <f>Export!H2</f>
        <v>Castle1</v>
      </c>
      <c r="E2" t="str">
        <f>Export!I2</f>
        <v>SoulStone</v>
      </c>
      <c r="F2">
        <f>Export!J2</f>
        <v>100</v>
      </c>
      <c r="G2">
        <f>Export!L2</f>
        <v>100</v>
      </c>
      <c r="H2">
        <f>Export!M2</f>
        <v>0</v>
      </c>
      <c r="I2">
        <f>Export!N2</f>
        <v>0</v>
      </c>
      <c r="J2" t="str">
        <f>[1]Export!$O22</f>
        <v>Magicite</v>
      </c>
      <c r="K2" t="s">
        <v>102</v>
      </c>
      <c r="L2">
        <f>[1]Export!$R22</f>
        <v>5</v>
      </c>
      <c r="M2">
        <f>[1]Export!$S22</f>
        <v>5</v>
      </c>
      <c r="N2">
        <f>F2+(C2-1)*G2</f>
        <v>10000</v>
      </c>
      <c r="O2">
        <f>L2+(C2-1)*M2</f>
        <v>500</v>
      </c>
    </row>
    <row r="3" spans="1:15">
      <c r="A3">
        <f>Export!B3</f>
        <v>10002</v>
      </c>
      <c r="B3" t="str">
        <f>Export!F3</f>
        <v>Castle</v>
      </c>
      <c r="C3">
        <f>Export!G3</f>
        <v>30</v>
      </c>
      <c r="D3" t="str">
        <f>Export!H3</f>
        <v>Castle2</v>
      </c>
      <c r="E3" t="str">
        <f>Export!I3</f>
        <v>SoulStone</v>
      </c>
      <c r="F3">
        <f>Export!J3</f>
        <v>500</v>
      </c>
      <c r="G3">
        <f>Export!L3</f>
        <v>500</v>
      </c>
      <c r="H3">
        <f>Export!M3</f>
        <v>0</v>
      </c>
      <c r="I3">
        <f>Export!N3</f>
        <v>0</v>
      </c>
      <c r="J3" t="str">
        <f>[1]Export!$O23</f>
        <v>StartStage</v>
      </c>
      <c r="K3" t="s">
        <v>103</v>
      </c>
      <c r="L3">
        <f>[1]Export!$R23</f>
        <v>11</v>
      </c>
      <c r="M3">
        <f>[1]Export!$S23</f>
        <v>10</v>
      </c>
      <c r="N3">
        <f t="shared" ref="N3:N30" si="0">F3+(C3-1)*G3</f>
        <v>15000</v>
      </c>
      <c r="O3">
        <f t="shared" ref="O3:O30" si="1">L3+(C3-1)*M3</f>
        <v>301</v>
      </c>
    </row>
    <row r="4" spans="1:15">
      <c r="A4">
        <f>Export!B4</f>
        <v>10004</v>
      </c>
      <c r="B4" t="str">
        <f>Export!F4</f>
        <v>Castle</v>
      </c>
      <c r="C4">
        <f>Export!G4</f>
        <v>20</v>
      </c>
      <c r="D4" t="str">
        <f>Export!H4</f>
        <v>Castle4</v>
      </c>
      <c r="E4" t="str">
        <f>Export!I4</f>
        <v>SoulStone</v>
      </c>
      <c r="F4">
        <f>Export!J4</f>
        <v>100</v>
      </c>
      <c r="G4">
        <f>Export!L4</f>
        <v>100</v>
      </c>
      <c r="H4">
        <f>Export!M4</f>
        <v>50</v>
      </c>
      <c r="I4">
        <f>Export!N4</f>
        <v>0</v>
      </c>
      <c r="J4" t="str">
        <f>[1]Export!$O25</f>
        <v>Amount</v>
      </c>
      <c r="K4" t="s">
        <v>104</v>
      </c>
      <c r="L4">
        <f>[1]Export!$R25</f>
        <v>5</v>
      </c>
      <c r="M4">
        <f>[1]Export!$S25</f>
        <v>5</v>
      </c>
      <c r="N4">
        <f>(C4*((2*G4)+(C4-1)*H4))/2</f>
        <v>11500</v>
      </c>
      <c r="O4">
        <f t="shared" si="1"/>
        <v>100</v>
      </c>
    </row>
    <row r="5" spans="1:15">
      <c r="A5">
        <f>Export!B5</f>
        <v>10005</v>
      </c>
      <c r="B5" t="str">
        <f>Export!F5</f>
        <v>Castle</v>
      </c>
      <c r="C5">
        <f>Export!G5</f>
        <v>40</v>
      </c>
      <c r="D5" t="str">
        <f>Export!H5</f>
        <v>Castle5</v>
      </c>
      <c r="E5" t="str">
        <f>Export!I5</f>
        <v>SoulStone</v>
      </c>
      <c r="F5">
        <f>Export!J5</f>
        <v>100</v>
      </c>
      <c r="G5">
        <f>Export!L5</f>
        <v>100</v>
      </c>
      <c r="H5">
        <f>Export!M5</f>
        <v>25</v>
      </c>
      <c r="I5">
        <f>Export!N5</f>
        <v>0</v>
      </c>
      <c r="J5" t="str">
        <f>[1]Export!$O26</f>
        <v>Time</v>
      </c>
      <c r="K5" t="s">
        <v>107</v>
      </c>
      <c r="L5">
        <f>[1]Export!$R26</f>
        <v>30</v>
      </c>
      <c r="M5">
        <f>[1]Export!$S26</f>
        <v>30</v>
      </c>
      <c r="N5">
        <f t="shared" ref="N5:N9" si="2">(C5*((2*G5)+(C5-1)*H5))/2</f>
        <v>23500</v>
      </c>
      <c r="O5">
        <f t="shared" si="1"/>
        <v>1200</v>
      </c>
    </row>
    <row r="6" spans="1:15">
      <c r="A6">
        <f>Export!B6</f>
        <v>10006</v>
      </c>
      <c r="B6" t="str">
        <f>Export!F6</f>
        <v>Castle</v>
      </c>
      <c r="C6">
        <f>Export!G6</f>
        <v>20</v>
      </c>
      <c r="D6" t="str">
        <f>Export!H6</f>
        <v>Castle6</v>
      </c>
      <c r="E6" t="str">
        <f>Export!I6</f>
        <v>SoulStone</v>
      </c>
      <c r="F6">
        <f>Export!J6</f>
        <v>200</v>
      </c>
      <c r="G6">
        <f>Export!L6</f>
        <v>200</v>
      </c>
      <c r="H6">
        <f>Export!M6</f>
        <v>100</v>
      </c>
      <c r="I6">
        <f>Export!N6</f>
        <v>0</v>
      </c>
      <c r="J6" t="str">
        <f>[1]Export!$O27</f>
        <v>Reward</v>
      </c>
      <c r="K6" t="s">
        <v>106</v>
      </c>
      <c r="L6">
        <f>[1]Export!$R27</f>
        <v>5</v>
      </c>
      <c r="M6">
        <f>[1]Export!$S27</f>
        <v>5</v>
      </c>
      <c r="N6">
        <f t="shared" si="2"/>
        <v>23000</v>
      </c>
      <c r="O6">
        <f t="shared" si="1"/>
        <v>100</v>
      </c>
    </row>
    <row r="7" spans="1:15">
      <c r="A7">
        <f>Export!B7</f>
        <v>10007</v>
      </c>
      <c r="B7" t="str">
        <f>Export!F7</f>
        <v>Castle</v>
      </c>
      <c r="C7">
        <f>Export!G7</f>
        <v>10</v>
      </c>
      <c r="D7" t="str">
        <f>Export!H7</f>
        <v>Castle7</v>
      </c>
      <c r="E7" t="str">
        <f>Export!I7</f>
        <v>SoulStone</v>
      </c>
      <c r="F7">
        <f>Export!J7</f>
        <v>250</v>
      </c>
      <c r="G7">
        <f>Export!L7</f>
        <v>250</v>
      </c>
      <c r="H7">
        <f>Export!M7</f>
        <v>250</v>
      </c>
      <c r="I7">
        <f>Export!N7</f>
        <v>0</v>
      </c>
      <c r="J7" t="str">
        <f>[1]Export!$O28</f>
        <v>Time</v>
      </c>
      <c r="K7" t="s">
        <v>105</v>
      </c>
      <c r="L7">
        <f>[1]Export!$R28</f>
        <v>5</v>
      </c>
      <c r="M7">
        <f>[1]Export!$S28</f>
        <v>5</v>
      </c>
      <c r="N7">
        <f t="shared" si="2"/>
        <v>13750</v>
      </c>
      <c r="O7">
        <f t="shared" si="1"/>
        <v>50</v>
      </c>
    </row>
    <row r="8" spans="1:15">
      <c r="A8">
        <f>Export!B8</f>
        <v>10008</v>
      </c>
      <c r="B8" t="str">
        <f>Export!F8</f>
        <v>Castle</v>
      </c>
      <c r="C8">
        <f>Export!G8</f>
        <v>50</v>
      </c>
      <c r="D8" t="str">
        <f>Export!H8</f>
        <v>Castle8</v>
      </c>
      <c r="E8" t="str">
        <f>Export!I8</f>
        <v>SoulStone</v>
      </c>
      <c r="F8">
        <f>Export!J8</f>
        <v>100</v>
      </c>
      <c r="G8">
        <f>Export!L8</f>
        <v>100</v>
      </c>
      <c r="H8">
        <f>Export!M8</f>
        <v>100</v>
      </c>
      <c r="I8">
        <f>Export!N8</f>
        <v>0</v>
      </c>
      <c r="J8" t="str">
        <f>[1]Export!$O29</f>
        <v>AutoSkill</v>
      </c>
      <c r="K8" t="s">
        <v>108</v>
      </c>
      <c r="L8">
        <f>[1]Export!$R29</f>
        <v>0.5</v>
      </c>
      <c r="M8">
        <f>[1]Export!$S29</f>
        <v>0.5</v>
      </c>
      <c r="N8">
        <f t="shared" si="2"/>
        <v>127500</v>
      </c>
      <c r="O8">
        <f t="shared" si="1"/>
        <v>25</v>
      </c>
    </row>
    <row r="9" spans="1:15">
      <c r="A9">
        <f>Export!B9</f>
        <v>10009</v>
      </c>
      <c r="B9" t="str">
        <f>Export!F9</f>
        <v>Castle</v>
      </c>
      <c r="C9">
        <f>Export!G9</f>
        <v>10</v>
      </c>
      <c r="D9" t="str">
        <f>Export!H9</f>
        <v>Castle9</v>
      </c>
      <c r="E9" t="str">
        <f>Export!I9</f>
        <v>SoulStone</v>
      </c>
      <c r="F9">
        <f>Export!J9</f>
        <v>100</v>
      </c>
      <c r="G9">
        <f>Export!L9</f>
        <v>150</v>
      </c>
      <c r="H9">
        <f>Export!M9</f>
        <v>150</v>
      </c>
      <c r="I9">
        <f>Export!N9</f>
        <v>0</v>
      </c>
      <c r="J9" t="str">
        <f>[1]Export!$O30</f>
        <v>Moat</v>
      </c>
      <c r="K9" t="s">
        <v>109</v>
      </c>
      <c r="L9">
        <f>[1]Export!$R30</f>
        <v>5</v>
      </c>
      <c r="M9">
        <f>[1]Export!$S30</f>
        <v>5</v>
      </c>
      <c r="N9">
        <f t="shared" si="2"/>
        <v>8250</v>
      </c>
      <c r="O9">
        <f t="shared" si="1"/>
        <v>50</v>
      </c>
    </row>
    <row r="10" spans="1:15">
      <c r="A10">
        <f>Export!B10</f>
        <v>10010</v>
      </c>
      <c r="B10" t="str">
        <f>Export!F10</f>
        <v>Castle</v>
      </c>
      <c r="C10">
        <f>Export!G10</f>
        <v>40</v>
      </c>
      <c r="D10" t="str">
        <f>Export!H10</f>
        <v>Castle10</v>
      </c>
      <c r="E10" t="str">
        <f>Export!I10</f>
        <v>SoulStone</v>
      </c>
      <c r="F10">
        <f>Export!J10</f>
        <v>200</v>
      </c>
      <c r="G10">
        <f>Export!L10</f>
        <v>200</v>
      </c>
      <c r="H10">
        <f>Export!M10</f>
        <v>0</v>
      </c>
      <c r="I10">
        <f>Export!N10</f>
        <v>0</v>
      </c>
      <c r="J10" t="str">
        <f>[1]Export!$O31</f>
        <v>TouchSkillCool</v>
      </c>
      <c r="K10" t="s">
        <v>110</v>
      </c>
      <c r="L10">
        <f>[1]Export!$R31</f>
        <v>2.5</v>
      </c>
      <c r="M10">
        <f>[1]Export!$S31</f>
        <v>0.5</v>
      </c>
      <c r="N10">
        <f t="shared" si="0"/>
        <v>8000</v>
      </c>
      <c r="O10">
        <f t="shared" si="1"/>
        <v>22</v>
      </c>
    </row>
    <row r="11" spans="1:15">
      <c r="A11">
        <f>Export!B12</f>
        <v>20001</v>
      </c>
      <c r="B11" t="str">
        <f>Export!F12</f>
        <v>Relic</v>
      </c>
      <c r="C11" s="22">
        <f>Export!G12</f>
        <v>100</v>
      </c>
      <c r="D11" t="str">
        <f>Export!H12</f>
        <v>Relic1</v>
      </c>
      <c r="E11" t="str">
        <f>Export!I12</f>
        <v>Magicite</v>
      </c>
      <c r="F11" s="22">
        <f>Export!J12</f>
        <v>25</v>
      </c>
      <c r="G11" s="22">
        <f>Export!L12</f>
        <v>50</v>
      </c>
      <c r="H11">
        <f>Export!M12</f>
        <v>0</v>
      </c>
      <c r="I11">
        <f>Export!N12</f>
        <v>2</v>
      </c>
      <c r="J11" t="str">
        <f>[1]Export!$O32</f>
        <v>AutoLvUp</v>
      </c>
      <c r="K11" t="s">
        <v>111</v>
      </c>
      <c r="L11">
        <f>[1]Export!$R32</f>
        <v>0</v>
      </c>
      <c r="M11">
        <f>[1]Export!$S32</f>
        <v>0</v>
      </c>
      <c r="N11">
        <f t="shared" si="0"/>
        <v>4975</v>
      </c>
      <c r="O11">
        <f t="shared" si="1"/>
        <v>0</v>
      </c>
    </row>
    <row r="12" spans="1:15">
      <c r="A12">
        <f>Export!B13</f>
        <v>20002</v>
      </c>
      <c r="B12" t="str">
        <f>Export!F13</f>
        <v>Relic</v>
      </c>
      <c r="C12" s="22">
        <f>Export!G13</f>
        <v>40</v>
      </c>
      <c r="D12" t="str">
        <f>Export!H13</f>
        <v>Relic2</v>
      </c>
      <c r="E12" t="str">
        <f>Export!I13</f>
        <v>Magicite</v>
      </c>
      <c r="F12" s="22">
        <f>Export!J13</f>
        <v>150</v>
      </c>
      <c r="G12" s="22">
        <f>Export!L13</f>
        <v>300</v>
      </c>
      <c r="H12">
        <f>Export!M13</f>
        <v>0</v>
      </c>
      <c r="I12">
        <f>Export!N13</f>
        <v>2</v>
      </c>
      <c r="J12" t="str">
        <f>[1]Export!$O33</f>
        <v>Gold</v>
      </c>
      <c r="K12" t="s">
        <v>112</v>
      </c>
      <c r="L12" s="22">
        <f>[1]Export!$R33</f>
        <v>2.5</v>
      </c>
      <c r="M12" s="22">
        <f>[1]Export!$S33</f>
        <v>2.5</v>
      </c>
      <c r="N12">
        <f t="shared" si="0"/>
        <v>11850</v>
      </c>
      <c r="O12">
        <f t="shared" si="1"/>
        <v>100</v>
      </c>
    </row>
    <row r="13" spans="1:15">
      <c r="A13">
        <f>Export!B14</f>
        <v>20003</v>
      </c>
      <c r="B13" t="str">
        <f>Export!F14</f>
        <v>Relic</v>
      </c>
      <c r="C13">
        <f>Export!G14</f>
        <v>9999</v>
      </c>
      <c r="D13" t="str">
        <f>Export!H14</f>
        <v>Relic3</v>
      </c>
      <c r="E13" t="str">
        <f>Export!I14</f>
        <v>Magicite</v>
      </c>
      <c r="F13" s="22">
        <f>Export!J14</f>
        <v>30</v>
      </c>
      <c r="G13" s="22">
        <f>Export!L14</f>
        <v>120</v>
      </c>
      <c r="H13">
        <f>Export!M14</f>
        <v>0</v>
      </c>
      <c r="I13">
        <f>Export!N14</f>
        <v>1.1000000000000001</v>
      </c>
      <c r="J13" t="str">
        <f>[1]Export!$O34</f>
        <v>LvUpGold</v>
      </c>
      <c r="K13" t="s">
        <v>113</v>
      </c>
      <c r="L13">
        <f>[1]Export!$R34</f>
        <v>2</v>
      </c>
      <c r="M13">
        <f>[1]Export!$S34</f>
        <v>2</v>
      </c>
      <c r="N13">
        <f t="shared" si="0"/>
        <v>1199790</v>
      </c>
      <c r="O13">
        <f t="shared" si="1"/>
        <v>19998</v>
      </c>
    </row>
    <row r="14" spans="1:15">
      <c r="A14">
        <f>Export!B15</f>
        <v>20004</v>
      </c>
      <c r="B14" t="str">
        <f>Export!F15</f>
        <v>Relic</v>
      </c>
      <c r="C14">
        <f>Export!G15</f>
        <v>9999</v>
      </c>
      <c r="D14" t="str">
        <f>Export!H15</f>
        <v>Relic4</v>
      </c>
      <c r="E14" t="str">
        <f>Export!I15</f>
        <v>Magicite</v>
      </c>
      <c r="F14" s="22">
        <f>Export!J15</f>
        <v>30</v>
      </c>
      <c r="G14" s="22">
        <f>Export!L15</f>
        <v>120</v>
      </c>
      <c r="H14">
        <f>Export!M15</f>
        <v>0</v>
      </c>
      <c r="I14">
        <f>Export!N15</f>
        <v>1.1000000000000001</v>
      </c>
      <c r="J14" t="str">
        <f>[1]Export!$O35</f>
        <v>Atk</v>
      </c>
      <c r="K14" t="s">
        <v>114</v>
      </c>
      <c r="L14">
        <f>[1]Export!$R35</f>
        <v>5</v>
      </c>
      <c r="M14">
        <f>[1]Export!$S35</f>
        <v>5</v>
      </c>
      <c r="N14">
        <f t="shared" si="0"/>
        <v>1199790</v>
      </c>
      <c r="O14">
        <f t="shared" si="1"/>
        <v>49995</v>
      </c>
    </row>
    <row r="15" spans="1:15">
      <c r="A15">
        <f>Export!B16</f>
        <v>20005</v>
      </c>
      <c r="B15" t="str">
        <f>Export!F16</f>
        <v>Relic</v>
      </c>
      <c r="C15">
        <f>Export!G16</f>
        <v>9999</v>
      </c>
      <c r="D15" t="str">
        <f>Export!H16</f>
        <v>Relic5</v>
      </c>
      <c r="E15" t="str">
        <f>Export!I16</f>
        <v>Magicite</v>
      </c>
      <c r="F15" s="22">
        <f>Export!J16</f>
        <v>30</v>
      </c>
      <c r="G15" s="22">
        <f>Export!L16</f>
        <v>120</v>
      </c>
      <c r="H15">
        <f>Export!M16</f>
        <v>0</v>
      </c>
      <c r="I15">
        <f>Export!N16</f>
        <v>1.1000000000000001</v>
      </c>
      <c r="J15" t="str">
        <f>[1]Export!$O36</f>
        <v>Atk</v>
      </c>
      <c r="K15" t="s">
        <v>115</v>
      </c>
      <c r="L15">
        <f>[1]Export!$R36</f>
        <v>5</v>
      </c>
      <c r="M15">
        <f>[1]Export!$S36</f>
        <v>5</v>
      </c>
      <c r="N15">
        <f t="shared" si="0"/>
        <v>1199790</v>
      </c>
      <c r="O15">
        <f t="shared" si="1"/>
        <v>49995</v>
      </c>
    </row>
    <row r="16" spans="1:15">
      <c r="A16">
        <f>Export!B17</f>
        <v>20006</v>
      </c>
      <c r="B16" t="str">
        <f>Export!F17</f>
        <v>Relic</v>
      </c>
      <c r="C16">
        <f>Export!G17</f>
        <v>250</v>
      </c>
      <c r="D16" t="str">
        <f>Export!H17</f>
        <v>Relic6</v>
      </c>
      <c r="E16" t="str">
        <f>Export!I17</f>
        <v>Magicite</v>
      </c>
      <c r="F16" s="22">
        <f>Export!J17</f>
        <v>40</v>
      </c>
      <c r="G16" s="22">
        <f>Export!L17</f>
        <v>110</v>
      </c>
      <c r="H16">
        <f>Export!M17</f>
        <v>0</v>
      </c>
      <c r="I16">
        <f>Export!N17</f>
        <v>1.2</v>
      </c>
      <c r="J16" t="str">
        <f>[1]Export!$O37</f>
        <v>Atk</v>
      </c>
      <c r="K16" t="s">
        <v>116</v>
      </c>
      <c r="L16">
        <f>[1]Export!$R37</f>
        <v>5</v>
      </c>
      <c r="M16">
        <f>[1]Export!$S37</f>
        <v>5</v>
      </c>
      <c r="N16">
        <f>F16+(C16-1)*G16</f>
        <v>27430</v>
      </c>
      <c r="O16">
        <f t="shared" si="1"/>
        <v>1250</v>
      </c>
    </row>
    <row r="17" spans="1:15">
      <c r="A17">
        <f>Export!B18</f>
        <v>20007</v>
      </c>
      <c r="B17" t="str">
        <f>Export!F18</f>
        <v>Relic</v>
      </c>
      <c r="C17">
        <f>Export!G18</f>
        <v>250</v>
      </c>
      <c r="D17" t="str">
        <f>Export!H18</f>
        <v>Relic7</v>
      </c>
      <c r="E17" t="str">
        <f>Export!I18</f>
        <v>Magicite</v>
      </c>
      <c r="F17" s="22">
        <f>Export!J18</f>
        <v>40</v>
      </c>
      <c r="G17" s="22">
        <f>Export!L18</f>
        <v>110</v>
      </c>
      <c r="H17">
        <f>Export!M18</f>
        <v>0</v>
      </c>
      <c r="I17">
        <f>Export!N18</f>
        <v>1.2</v>
      </c>
      <c r="J17" t="str">
        <f>[1]Export!$O38</f>
        <v>Spd</v>
      </c>
      <c r="K17" t="s">
        <v>117</v>
      </c>
      <c r="L17">
        <f>[1]Export!$R38</f>
        <v>0.1</v>
      </c>
      <c r="M17">
        <f>[1]Export!$S38</f>
        <v>0.1</v>
      </c>
      <c r="N17">
        <f t="shared" si="0"/>
        <v>27430</v>
      </c>
      <c r="O17">
        <f t="shared" si="1"/>
        <v>25.000000000000004</v>
      </c>
    </row>
    <row r="18" spans="1:15">
      <c r="A18">
        <f>Export!B19</f>
        <v>20008</v>
      </c>
      <c r="B18" t="str">
        <f>Export!F19</f>
        <v>Relic</v>
      </c>
      <c r="C18">
        <f>Export!G19</f>
        <v>250</v>
      </c>
      <c r="D18" t="str">
        <f>Export!H19</f>
        <v>Relic8</v>
      </c>
      <c r="E18" t="str">
        <f>Export!I19</f>
        <v>Magicite</v>
      </c>
      <c r="F18" s="22">
        <f>Export!J19</f>
        <v>40</v>
      </c>
      <c r="G18" s="22">
        <f>Export!L19</f>
        <v>110</v>
      </c>
      <c r="H18">
        <f>Export!M19</f>
        <v>0</v>
      </c>
      <c r="I18">
        <f>Export!N19</f>
        <v>1.2</v>
      </c>
      <c r="J18" t="str">
        <f>[1]Export!$O39</f>
        <v>Spd</v>
      </c>
      <c r="K18" t="s">
        <v>118</v>
      </c>
      <c r="L18">
        <f>[1]Export!$R39</f>
        <v>0.1</v>
      </c>
      <c r="M18">
        <f>[1]Export!$S39</f>
        <v>0.1</v>
      </c>
      <c r="N18">
        <f t="shared" si="0"/>
        <v>27430</v>
      </c>
      <c r="O18">
        <f t="shared" si="1"/>
        <v>25.000000000000004</v>
      </c>
    </row>
    <row r="19" spans="1:15">
      <c r="A19">
        <f>Export!B20</f>
        <v>20009</v>
      </c>
      <c r="B19" t="str">
        <f>Export!F20</f>
        <v>Relic</v>
      </c>
      <c r="C19">
        <f>Export!G20</f>
        <v>500</v>
      </c>
      <c r="D19" t="str">
        <f>Export!H20</f>
        <v>Relic9</v>
      </c>
      <c r="E19" t="str">
        <f>Export!I20</f>
        <v>Magicite</v>
      </c>
      <c r="F19" s="22">
        <f>Export!J20</f>
        <v>60</v>
      </c>
      <c r="G19" s="22">
        <f>Export!L20</f>
        <v>120</v>
      </c>
      <c r="H19">
        <f>Export!M20</f>
        <v>0</v>
      </c>
      <c r="I19">
        <f>Export!N20</f>
        <v>1.1000000000000001</v>
      </c>
      <c r="J19" t="str">
        <f>[1]Export!$O40</f>
        <v>Spd</v>
      </c>
      <c r="K19" t="s">
        <v>119</v>
      </c>
      <c r="L19">
        <f>[1]Export!$R40</f>
        <v>0.1</v>
      </c>
      <c r="M19">
        <f>[1]Export!$S40</f>
        <v>0.1</v>
      </c>
      <c r="N19">
        <f t="shared" si="0"/>
        <v>59940</v>
      </c>
      <c r="O19">
        <f t="shared" si="1"/>
        <v>50.000000000000007</v>
      </c>
    </row>
    <row r="20" spans="1:15">
      <c r="A20">
        <f>Export!B21</f>
        <v>20010</v>
      </c>
      <c r="B20" t="str">
        <f>Export!F21</f>
        <v>Relic</v>
      </c>
      <c r="C20">
        <f>Export!G21</f>
        <v>500</v>
      </c>
      <c r="D20" t="str">
        <f>Export!H21</f>
        <v>Relic10</v>
      </c>
      <c r="E20" t="str">
        <f>Export!I21</f>
        <v>Magicite</v>
      </c>
      <c r="F20" s="22">
        <f>Export!J21</f>
        <v>60</v>
      </c>
      <c r="G20" s="22">
        <f>Export!L21</f>
        <v>120</v>
      </c>
      <c r="H20">
        <f>Export!M21</f>
        <v>0</v>
      </c>
      <c r="I20">
        <f>Export!N21</f>
        <v>1.1000000000000001</v>
      </c>
      <c r="J20" t="str">
        <f>[1]Export!$O41</f>
        <v>CritChance</v>
      </c>
      <c r="K20" t="s">
        <v>120</v>
      </c>
      <c r="L20">
        <f>[1]Export!$R41</f>
        <v>0.1</v>
      </c>
      <c r="M20">
        <f>[1]Export!$S41</f>
        <v>0.1</v>
      </c>
      <c r="N20">
        <f t="shared" si="0"/>
        <v>59940</v>
      </c>
      <c r="O20">
        <f t="shared" si="1"/>
        <v>50.000000000000007</v>
      </c>
    </row>
    <row r="21" spans="1:15">
      <c r="A21">
        <f>Export!B22</f>
        <v>20011</v>
      </c>
      <c r="B21" t="str">
        <f>Export!F22</f>
        <v>Relic</v>
      </c>
      <c r="C21">
        <f>Export!G22</f>
        <v>500</v>
      </c>
      <c r="D21" t="str">
        <f>Export!H22</f>
        <v>Relic11</v>
      </c>
      <c r="E21" t="str">
        <f>Export!I22</f>
        <v>Magicite</v>
      </c>
      <c r="F21" s="22">
        <f>Export!J22</f>
        <v>60</v>
      </c>
      <c r="G21" s="22">
        <f>Export!L22</f>
        <v>120</v>
      </c>
      <c r="H21">
        <f>Export!M22</f>
        <v>0</v>
      </c>
      <c r="I21">
        <f>Export!N22</f>
        <v>1.1000000000000001</v>
      </c>
      <c r="J21" t="str">
        <f>[1]Export!$O42</f>
        <v>CritChance</v>
      </c>
      <c r="K21" t="s">
        <v>121</v>
      </c>
      <c r="L21">
        <f>[1]Export!$R42</f>
        <v>0.1</v>
      </c>
      <c r="M21">
        <f>[1]Export!$S42</f>
        <v>0.1</v>
      </c>
      <c r="N21">
        <f t="shared" si="0"/>
        <v>59940</v>
      </c>
      <c r="O21">
        <f t="shared" si="1"/>
        <v>50.000000000000007</v>
      </c>
    </row>
    <row r="22" spans="1:15">
      <c r="A22">
        <f>Export!B23</f>
        <v>20012</v>
      </c>
      <c r="B22" t="str">
        <f>Export!F23</f>
        <v>Relic</v>
      </c>
      <c r="C22">
        <f>Export!G23</f>
        <v>500</v>
      </c>
      <c r="D22" t="str">
        <f>Export!H23</f>
        <v>Relic12</v>
      </c>
      <c r="E22" t="str">
        <f>Export!I23</f>
        <v>Magicite</v>
      </c>
      <c r="F22" s="22">
        <f>Export!J23</f>
        <v>30</v>
      </c>
      <c r="G22" s="22">
        <f>Export!L23</f>
        <v>110</v>
      </c>
      <c r="H22">
        <f>Export!M23</f>
        <v>0</v>
      </c>
      <c r="I22">
        <f>Export!N23</f>
        <v>1.1000000000000001</v>
      </c>
      <c r="J22" t="str">
        <f>[1]Export!$O43</f>
        <v>CritChance</v>
      </c>
      <c r="K22" t="s">
        <v>122</v>
      </c>
      <c r="L22">
        <f>[1]Export!$R43</f>
        <v>0.1</v>
      </c>
      <c r="M22">
        <f>[1]Export!$S43</f>
        <v>0.1</v>
      </c>
      <c r="N22">
        <f t="shared" si="0"/>
        <v>54920</v>
      </c>
      <c r="O22">
        <f t="shared" si="1"/>
        <v>50.000000000000007</v>
      </c>
    </row>
    <row r="23" spans="1:15">
      <c r="A23">
        <f>Export!B24</f>
        <v>20013</v>
      </c>
      <c r="B23" t="str">
        <f>Export!F24</f>
        <v>Relic</v>
      </c>
      <c r="C23">
        <f>Export!G24</f>
        <v>500</v>
      </c>
      <c r="D23" t="str">
        <f>Export!H24</f>
        <v>Relic13</v>
      </c>
      <c r="E23" t="str">
        <f>Export!I24</f>
        <v>Magicite</v>
      </c>
      <c r="F23" s="22">
        <f>Export!J24</f>
        <v>30</v>
      </c>
      <c r="G23" s="22">
        <f>Export!L24</f>
        <v>110</v>
      </c>
      <c r="H23">
        <f>Export!M24</f>
        <v>0</v>
      </c>
      <c r="I23">
        <f>Export!N24</f>
        <v>1.1000000000000001</v>
      </c>
      <c r="J23" t="str">
        <f>[1]Export!$O44</f>
        <v>CritDmg</v>
      </c>
      <c r="K23" t="s">
        <v>123</v>
      </c>
      <c r="L23">
        <f>[1]Export!$R44</f>
        <v>1</v>
      </c>
      <c r="M23">
        <f>[1]Export!$S44</f>
        <v>1</v>
      </c>
      <c r="N23">
        <f t="shared" si="0"/>
        <v>54920</v>
      </c>
      <c r="O23">
        <f t="shared" si="1"/>
        <v>500</v>
      </c>
    </row>
    <row r="24" spans="1:15">
      <c r="A24">
        <f>Export!B25</f>
        <v>20014</v>
      </c>
      <c r="B24" t="str">
        <f>Export!F25</f>
        <v>Relic</v>
      </c>
      <c r="C24">
        <f>Export!G25</f>
        <v>500</v>
      </c>
      <c r="D24" t="str">
        <f>Export!H25</f>
        <v>Relic14</v>
      </c>
      <c r="E24" t="str">
        <f>Export!I25</f>
        <v>Magicite</v>
      </c>
      <c r="F24" s="22">
        <f>Export!J25</f>
        <v>30</v>
      </c>
      <c r="G24" s="22">
        <f>Export!L25</f>
        <v>110</v>
      </c>
      <c r="H24">
        <f>Export!M25</f>
        <v>0</v>
      </c>
      <c r="I24">
        <f>Export!N25</f>
        <v>1.1000000000000001</v>
      </c>
      <c r="J24" t="str">
        <f>[1]Export!$O45</f>
        <v>CritDmg</v>
      </c>
      <c r="K24" t="s">
        <v>124</v>
      </c>
      <c r="L24">
        <f>[1]Export!$R45</f>
        <v>1</v>
      </c>
      <c r="M24">
        <f>[1]Export!$S45</f>
        <v>1</v>
      </c>
      <c r="N24">
        <f t="shared" si="0"/>
        <v>54920</v>
      </c>
      <c r="O24">
        <f t="shared" si="1"/>
        <v>500</v>
      </c>
    </row>
    <row r="25" spans="1:15">
      <c r="A25">
        <f>Export!B26</f>
        <v>20015</v>
      </c>
      <c r="B25" t="str">
        <f>Export!F26</f>
        <v>Relic</v>
      </c>
      <c r="C25">
        <f>Export!G26</f>
        <v>50</v>
      </c>
      <c r="D25" t="str">
        <f>Export!H26</f>
        <v>Relic15</v>
      </c>
      <c r="E25" t="str">
        <f>Export!I26</f>
        <v>Magicite</v>
      </c>
      <c r="F25" s="22">
        <f>Export!J26</f>
        <v>25</v>
      </c>
      <c r="G25" s="22">
        <f>Export!L26</f>
        <v>125</v>
      </c>
      <c r="H25">
        <f>Export!M26</f>
        <v>0</v>
      </c>
      <c r="I25">
        <f>Export!N26</f>
        <v>2</v>
      </c>
      <c r="J25" t="str">
        <f>[1]Export!$O46</f>
        <v>CritDmg</v>
      </c>
      <c r="K25" t="s">
        <v>125</v>
      </c>
      <c r="L25">
        <f>[1]Export!$R46</f>
        <v>1</v>
      </c>
      <c r="M25">
        <f>[1]Export!$S46</f>
        <v>1</v>
      </c>
      <c r="N25">
        <f t="shared" si="0"/>
        <v>6150</v>
      </c>
      <c r="O25">
        <f t="shared" si="1"/>
        <v>50</v>
      </c>
    </row>
    <row r="26" spans="1:15">
      <c r="A26">
        <f>Export!B27</f>
        <v>20016</v>
      </c>
      <c r="B26" t="str">
        <f>Export!F27</f>
        <v>Relic</v>
      </c>
      <c r="C26">
        <f>Export!G27</f>
        <v>50</v>
      </c>
      <c r="D26" t="str">
        <f>Export!H27</f>
        <v>Relic16</v>
      </c>
      <c r="E26" t="str">
        <f>Export!I27</f>
        <v>Magicite</v>
      </c>
      <c r="F26" s="22">
        <f>Export!J27</f>
        <v>25</v>
      </c>
      <c r="G26" s="22">
        <f>Export!L27</f>
        <v>125</v>
      </c>
      <c r="H26">
        <f>Export!M27</f>
        <v>0</v>
      </c>
      <c r="I26">
        <f>Export!N27</f>
        <v>2</v>
      </c>
      <c r="J26" t="str">
        <f>[1]Export!$O47</f>
        <v>Hp</v>
      </c>
      <c r="K26" t="s">
        <v>126</v>
      </c>
      <c r="L26">
        <f>[1]Export!$R47</f>
        <v>0.5</v>
      </c>
      <c r="M26">
        <f>[1]Export!$S47</f>
        <v>0.5</v>
      </c>
      <c r="N26">
        <f t="shared" si="0"/>
        <v>6150</v>
      </c>
      <c r="O26">
        <f t="shared" si="1"/>
        <v>25</v>
      </c>
    </row>
    <row r="27" spans="1:15">
      <c r="A27">
        <f>Export!B28</f>
        <v>20017</v>
      </c>
      <c r="B27" t="str">
        <f>Export!F28</f>
        <v>Relic</v>
      </c>
      <c r="C27">
        <f>Export!G28</f>
        <v>50</v>
      </c>
      <c r="D27" t="str">
        <f>Export!H28</f>
        <v>Relic17</v>
      </c>
      <c r="E27" t="str">
        <f>Export!I28</f>
        <v>Magicite</v>
      </c>
      <c r="F27" s="22">
        <f>Export!J28</f>
        <v>25</v>
      </c>
      <c r="G27" s="22">
        <f>Export!L28</f>
        <v>125</v>
      </c>
      <c r="H27">
        <f>Export!M28</f>
        <v>0</v>
      </c>
      <c r="I27">
        <f>Export!N28</f>
        <v>2</v>
      </c>
      <c r="J27" t="str">
        <f>[1]Export!$O48</f>
        <v>Hp</v>
      </c>
      <c r="K27" t="s">
        <v>127</v>
      </c>
      <c r="L27">
        <f>[1]Export!$R48</f>
        <v>0.5</v>
      </c>
      <c r="M27">
        <f>[1]Export!$S48</f>
        <v>0.5</v>
      </c>
      <c r="N27">
        <f t="shared" si="0"/>
        <v>6150</v>
      </c>
      <c r="O27">
        <f t="shared" si="1"/>
        <v>25</v>
      </c>
    </row>
    <row r="28" spans="1:15">
      <c r="A28">
        <f>Export!B29</f>
        <v>20018</v>
      </c>
      <c r="B28" t="str">
        <f>Export!F29</f>
        <v>Relic</v>
      </c>
      <c r="C28">
        <f>Export!G29</f>
        <v>50</v>
      </c>
      <c r="D28" t="str">
        <f>Export!H29</f>
        <v>Relic18</v>
      </c>
      <c r="E28" t="str">
        <f>Export!I29</f>
        <v>Magicite</v>
      </c>
      <c r="F28" s="22">
        <f>Export!J29</f>
        <v>25</v>
      </c>
      <c r="G28" s="22">
        <f>Export!L29</f>
        <v>125</v>
      </c>
      <c r="H28">
        <f>Export!M29</f>
        <v>0</v>
      </c>
      <c r="I28">
        <f>Export!N29</f>
        <v>2</v>
      </c>
      <c r="J28" t="str">
        <f>[1]Export!$O49</f>
        <v>Hp</v>
      </c>
      <c r="K28" t="s">
        <v>128</v>
      </c>
      <c r="L28">
        <f>[1]Export!$R49</f>
        <v>0.5</v>
      </c>
      <c r="M28">
        <f>[1]Export!$S49</f>
        <v>0.5</v>
      </c>
      <c r="N28">
        <f t="shared" si="0"/>
        <v>6150</v>
      </c>
      <c r="O28">
        <f t="shared" si="1"/>
        <v>25</v>
      </c>
    </row>
    <row r="29" spans="1:15">
      <c r="A29">
        <f>Export!B30</f>
        <v>20019</v>
      </c>
      <c r="B29" t="str">
        <f>Export!F30</f>
        <v>Relic</v>
      </c>
      <c r="C29">
        <f>Export!G30</f>
        <v>50</v>
      </c>
      <c r="D29" t="str">
        <f>Export!H30</f>
        <v>Relic19</v>
      </c>
      <c r="E29" t="str">
        <f>Export!I30</f>
        <v>Magicite</v>
      </c>
      <c r="F29" s="22">
        <f>Export!J30</f>
        <v>25</v>
      </c>
      <c r="G29" s="22">
        <f>Export!L30</f>
        <v>125</v>
      </c>
      <c r="H29">
        <f>Export!M30</f>
        <v>0</v>
      </c>
      <c r="I29">
        <f>Export!N30</f>
        <v>2</v>
      </c>
      <c r="J29" t="str">
        <f>[1]Export!$O50</f>
        <v>Hp</v>
      </c>
      <c r="K29" t="s">
        <v>129</v>
      </c>
      <c r="L29">
        <f>[1]Export!$R50</f>
        <v>0.5</v>
      </c>
      <c r="M29">
        <f>[1]Export!$S50</f>
        <v>0.5</v>
      </c>
      <c r="N29">
        <f t="shared" si="0"/>
        <v>6150</v>
      </c>
      <c r="O29">
        <f t="shared" si="1"/>
        <v>25</v>
      </c>
    </row>
    <row r="30" spans="1:15">
      <c r="A30">
        <f>Export!B31</f>
        <v>20020</v>
      </c>
      <c r="B30" t="str">
        <f>Export!F31</f>
        <v>Relic</v>
      </c>
      <c r="C30">
        <f>Export!G31</f>
        <v>50</v>
      </c>
      <c r="D30" t="str">
        <f>Export!H31</f>
        <v>Relic20</v>
      </c>
      <c r="E30" t="str">
        <f>Export!I31</f>
        <v>Magicite</v>
      </c>
      <c r="F30" s="22">
        <f>Export!J31</f>
        <v>25</v>
      </c>
      <c r="G30" s="22">
        <f>Export!L31</f>
        <v>125</v>
      </c>
      <c r="H30">
        <f>Export!M31</f>
        <v>0</v>
      </c>
      <c r="I30">
        <f>Export!N31</f>
        <v>2</v>
      </c>
      <c r="J30" t="str">
        <f>[1]Export!$O51</f>
        <v>Hp</v>
      </c>
      <c r="K30" t="s">
        <v>130</v>
      </c>
      <c r="L30">
        <f>[1]Export!$R51</f>
        <v>0.5</v>
      </c>
      <c r="M30">
        <f>[1]Export!$S51</f>
        <v>0.5</v>
      </c>
      <c r="N30">
        <f t="shared" si="0"/>
        <v>6150</v>
      </c>
      <c r="O30">
        <f t="shared" si="1"/>
        <v>25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Export</vt:lpstr>
      <vt:lpstr>컬럼명세</vt:lpstr>
      <vt:lpstr>시뮬레이션시트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2022-07-09T16:45:49Z</dcterms:modified>
</cp:coreProperties>
</file>