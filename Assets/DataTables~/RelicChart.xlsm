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4202D281-4176-483D-85B7-BE2C45E1AF4A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4" l="1"/>
  <c r="N6" i="4"/>
  <c r="N7" i="4"/>
  <c r="N8" i="4"/>
  <c r="N9" i="4"/>
  <c r="N4" i="4"/>
  <c r="N16" i="4"/>
  <c r="C11" i="4"/>
  <c r="C12" i="4"/>
  <c r="O3" i="4"/>
  <c r="O4" i="4"/>
  <c r="O5" i="4"/>
  <c r="O6" i="4"/>
  <c r="O7" i="4"/>
  <c r="O8" i="4"/>
  <c r="O9" i="4"/>
  <c r="O10" i="4"/>
  <c r="O13" i="4"/>
  <c r="O14" i="4"/>
  <c r="O15" i="4"/>
  <c r="O16" i="4"/>
  <c r="O17" i="4"/>
  <c r="O18" i="4"/>
  <c r="O19" i="4"/>
  <c r="O20" i="4"/>
  <c r="O21" i="4"/>
  <c r="O22" i="4"/>
  <c r="O23" i="4"/>
  <c r="O24" i="4"/>
  <c r="O2" i="4"/>
  <c r="N3" i="4"/>
  <c r="N10" i="4"/>
  <c r="N13" i="4"/>
  <c r="N15" i="4"/>
  <c r="N17" i="4"/>
  <c r="N19" i="4"/>
  <c r="N2" i="4"/>
  <c r="J30" i="4"/>
  <c r="L30" i="4"/>
  <c r="M30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O26" i="4" s="1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O28" i="4" s="1"/>
  <c r="D28" i="4"/>
  <c r="E28" i="4"/>
  <c r="F28" i="4"/>
  <c r="G28" i="4"/>
  <c r="H28" i="4"/>
  <c r="I28" i="4"/>
  <c r="C29" i="4"/>
  <c r="O29" i="4" s="1"/>
  <c r="D29" i="4"/>
  <c r="E29" i="4"/>
  <c r="F29" i="4"/>
  <c r="G29" i="4"/>
  <c r="H29" i="4"/>
  <c r="I29" i="4"/>
  <c r="C30" i="4"/>
  <c r="N30" i="4" s="1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  <c r="N24" i="4" l="1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<sst xmlns="http://schemas.openxmlformats.org/spreadsheetml/2006/main" count="233" uniqueCount="133">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</sst>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2.5</v>
          </cell>
          <cell r="S29">
            <v>2.5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Gold</v>
          </cell>
          <cell r="R32">
            <v>1</v>
          </cell>
          <cell r="S32">
            <v>1</v>
          </cell>
        </row>
        <row r="33">
          <cell r="O33" t="str">
            <v>LvUpGold</v>
          </cell>
          <cell r="R33">
            <v>2</v>
          </cell>
          <cell r="S33">
            <v>2</v>
          </cell>
        </row>
        <row r="34">
          <cell r="O34" t="str">
            <v>Atk</v>
          </cell>
          <cell r="R34">
            <v>5</v>
          </cell>
          <cell r="S34">
            <v>5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Spd</v>
          </cell>
          <cell r="R37">
            <v>0.1</v>
          </cell>
          <cell r="S37">
            <v>0.1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CritChance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CritDmg</v>
          </cell>
          <cell r="R43">
            <v>1</v>
          </cell>
          <cell r="S43">
            <v>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Hp</v>
          </cell>
          <cell r="R46">
            <v>0.5</v>
          </cell>
          <cell r="S46">
            <v>0.5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opLeftCell="B1" workbookViewId="0">
      <selection activeCell="H29" sqref="H29"/>
    </sheetView>
  </sheetViews>
  <sheetFormatPr defaultRowHeight="16.5"/>
  <cols>
    <col min="1" max="1" width="43.625" customWidth="1"/>
    <col min="3" max="3" width="20.75" bestFit="1" customWidth="1"/>
    <col min="4" max="4" width="20.625" customWidth="1"/>
    <col min="5" max="5" width="27.75" bestFit="1" customWidth="1"/>
    <col min="6" max="6" width="15.125" customWidth="1"/>
    <col min="8" max="9" width="13.125" customWidth="1"/>
    <col min="11" max="11" width="13.5" bestFit="1" customWidth="1"/>
    <col min="12" max="12" width="9.25" bestFit="1" customWidth="1"/>
    <col min="13" max="13" width="16.5" bestFit="1" customWidth="1"/>
    <col min="14" max="14" width="15.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10</v>
      </c>
      <c r="H8" t="s">
        <v>68</v>
      </c>
      <c r="I8" t="s">
        <v>11</v>
      </c>
      <c r="J8">
        <v>100</v>
      </c>
      <c r="K8" t="s">
        <v>11</v>
      </c>
      <c r="L8">
        <v>150</v>
      </c>
      <c r="M8">
        <v>150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100</v>
      </c>
      <c r="H11" t="s">
        <v>37</v>
      </c>
      <c r="I11" t="s">
        <v>10</v>
      </c>
      <c r="J11">
        <v>25</v>
      </c>
      <c r="K11" t="s">
        <v>10</v>
      </c>
      <c r="L11">
        <v>50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40</v>
      </c>
      <c r="H12" t="s">
        <v>38</v>
      </c>
      <c r="I12" t="s">
        <v>10</v>
      </c>
      <c r="J12">
        <v>150</v>
      </c>
      <c r="K12" t="s">
        <v>10</v>
      </c>
      <c r="L12">
        <v>300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30</v>
      </c>
      <c r="K13" t="s">
        <v>10</v>
      </c>
      <c r="L13">
        <v>120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40</v>
      </c>
      <c r="K16" t="s">
        <v>10</v>
      </c>
      <c r="L16">
        <v>110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60</v>
      </c>
      <c r="K19" t="s">
        <v>10</v>
      </c>
      <c r="L19">
        <v>120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30</v>
      </c>
      <c r="K22" t="s">
        <v>10</v>
      </c>
      <c r="L22">
        <v>110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25</v>
      </c>
      <c r="K25" t="s">
        <v>10</v>
      </c>
      <c r="L25">
        <v>125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25</v>
      </c>
      <c r="K30" t="s">
        <v>10</v>
      </c>
      <c r="L30">
        <v>125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75" defaultRowHeight="16.5"/>
  <cols>
    <col min="1" max="1" width="8.75" style="1"/>
    <col min="2" max="2" width="16.125" style="1" customWidth="1"/>
    <col min="3" max="3" width="10.375" style="1" bestFit="1" customWidth="1"/>
    <col min="4" max="4" width="12.375" style="1" bestFit="1" customWidth="1"/>
    <col min="5" max="5" width="77" style="1" bestFit="1" customWidth="1"/>
    <col min="6" max="6" width="40.875" style="1" customWidth="1"/>
    <col min="7" max="16384" width="8.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60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60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tabSelected="1" workbookViewId="0">
      <selection activeCell="L10" sqref="L10"/>
    </sheetView>
  </sheetViews>
  <sheetFormatPr defaultRowHeight="16.5"/>
  <cols>
    <col min="1" max="1" width="6.5" bestFit="1" customWidth="1"/>
    <col min="2" max="2" width="6.625" bestFit="1" customWidth="1"/>
    <col min="3" max="3" width="6.875" bestFit="1" customWidth="1"/>
    <col min="4" max="4" width="8.625" bestFit="1" customWidth="1"/>
    <col min="5" max="5" width="13.75" bestFit="1" customWidth="1"/>
    <col min="6" max="6" width="5.625" bestFit="1" customWidth="1"/>
    <col min="7" max="7" width="9.5" bestFit="1" customWidth="1"/>
    <col min="8" max="8" width="17.625" bestFit="1" customWidth="1"/>
    <col min="9" max="9" width="16.375" bestFit="1" customWidth="1"/>
    <col min="10" max="10" width="14.75" bestFit="1" customWidth="1"/>
    <col min="11" max="11" width="26.25" bestFit="1" customWidth="1"/>
    <col min="12" max="13" width="13.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10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150</v>
      </c>
      <c r="H8">
        <f>Export!M8</f>
        <v>150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2.5</v>
      </c>
      <c r="M8">
        <f>[1]Export!$S29</f>
        <v>2.5</v>
      </c>
      <c r="N8">
        <f t="shared" si="2"/>
        <v>8250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Export!B11</f>
        <v>20001</v>
      </c>
      <c r="B11" t="str">
        <f>Export!F11</f>
        <v>Relic</v>
      </c>
      <c r="C11" s="22">
        <f>Export!G11</f>
        <v>100</v>
      </c>
      <c r="D11" t="str">
        <f>Export!H11</f>
        <v>Relic1</v>
      </c>
      <c r="E11" t="str">
        <f>Export!I11</f>
        <v>Magicite</v>
      </c>
      <c r="F11" s="22">
        <f>Export!J11</f>
        <v>25</v>
      </c>
      <c r="G11" s="22">
        <f>Export!L11</f>
        <v>50</v>
      </c>
      <c r="H11">
        <f>Export!M11</f>
        <v>0</v>
      </c>
      <c r="I11">
        <f>Export!N11</f>
        <v>2</v>
      </c>
      <c r="J11" t="str">
        <f>[1]Export!$O32</f>
        <v>Gold</v>
      </c>
      <c r="K11" t="s">
        <v>111</v>
      </c>
      <c r="L11">
        <f>[1]Export!$R32</f>
        <v>1</v>
      </c>
      <c r="M11">
        <f>[1]Export!$S32</f>
        <v>1</v>
      </c>
      <c r="N11">
        <f t="shared" si="0"/>
        <v>4975</v>
      </c>
      <c r="O11">
        <f t="shared" si="1"/>
        <v>100</v>
      </c>
    </row>
    <row r="12" spans="1:15">
      <c r="A12">
        <f>Export!B12</f>
        <v>20002</v>
      </c>
      <c r="B12" t="str">
        <f>Export!F12</f>
        <v>Relic</v>
      </c>
      <c r="C12" s="22">
        <f>Export!G12</f>
        <v>40</v>
      </c>
      <c r="D12" t="str">
        <f>Export!H12</f>
        <v>Relic2</v>
      </c>
      <c r="E12" t="str">
        <f>Export!I12</f>
        <v>Magicite</v>
      </c>
      <c r="F12" s="22">
        <f>Export!J12</f>
        <v>150</v>
      </c>
      <c r="G12" s="22">
        <f>Export!L12</f>
        <v>300</v>
      </c>
      <c r="H12">
        <f>Export!M12</f>
        <v>0</v>
      </c>
      <c r="I12">
        <f>Export!N12</f>
        <v>2</v>
      </c>
      <c r="J12" t="str">
        <f>[1]Export!$O33</f>
        <v>LvUpGold</v>
      </c>
      <c r="K12" t="s">
        <v>112</v>
      </c>
      <c r="L12" s="22">
        <f>[1]Export!$R33</f>
        <v>2</v>
      </c>
      <c r="M12" s="22">
        <f>[1]Export!$S33</f>
        <v>2</v>
      </c>
      <c r="N12">
        <f t="shared" si="0"/>
        <v>11850</v>
      </c>
      <c r="O12">
        <f t="shared" si="1"/>
        <v>80</v>
      </c>
    </row>
    <row r="13" spans="1:15">
      <c r="A13">
        <f>Export!B13</f>
        <v>20003</v>
      </c>
      <c r="B13" t="str">
        <f>Export!F13</f>
        <v>Relic</v>
      </c>
      <c r="C13">
        <f>Export!G13</f>
        <v>9999</v>
      </c>
      <c r="D13" t="str">
        <f>Export!H13</f>
        <v>Relic3</v>
      </c>
      <c r="E13" t="str">
        <f>Export!I13</f>
        <v>Magicite</v>
      </c>
      <c r="F13" s="22">
        <f>Export!J13</f>
        <v>30</v>
      </c>
      <c r="G13" s="22">
        <f>Export!L13</f>
        <v>120</v>
      </c>
      <c r="H13">
        <f>Export!M13</f>
        <v>0</v>
      </c>
      <c r="I13">
        <f>Export!N13</f>
        <v>1.1000000000000001</v>
      </c>
      <c r="J13" t="str">
        <f>[1]Export!$O34</f>
        <v>Atk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Export!B14</f>
        <v>20004</v>
      </c>
      <c r="B14" t="str">
        <f>Export!F14</f>
        <v>Relic</v>
      </c>
      <c r="C14">
        <f>Export!G14</f>
        <v>9999</v>
      </c>
      <c r="D14" t="str">
        <f>Export!H14</f>
        <v>Relic4</v>
      </c>
      <c r="E14" t="str">
        <f>Export!I14</f>
        <v>Magicite</v>
      </c>
      <c r="F14" s="22">
        <f>Export!J14</f>
        <v>30</v>
      </c>
      <c r="G14" s="22">
        <f>Export!L14</f>
        <v>120</v>
      </c>
      <c r="H14">
        <f>Export!M14</f>
        <v>0</v>
      </c>
      <c r="I14">
        <f>Export!N14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Export!B15</f>
        <v>20005</v>
      </c>
      <c r="B15" t="str">
        <f>Export!F15</f>
        <v>Relic</v>
      </c>
      <c r="C15">
        <f>Export!G15</f>
        <v>9999</v>
      </c>
      <c r="D15" t="str">
        <f>Export!H15</f>
        <v>Relic5</v>
      </c>
      <c r="E15" t="str">
        <f>Export!I15</f>
        <v>Magicite</v>
      </c>
      <c r="F15" s="22">
        <f>Export!J15</f>
        <v>30</v>
      </c>
      <c r="G15" s="22">
        <f>Export!L15</f>
        <v>120</v>
      </c>
      <c r="H15">
        <f>Export!M15</f>
        <v>0</v>
      </c>
      <c r="I15">
        <f>Export!N15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Export!B16</f>
        <v>20006</v>
      </c>
      <c r="B16" t="str">
        <f>Export!F16</f>
        <v>Relic</v>
      </c>
      <c r="C16">
        <f>Export!G16</f>
        <v>250</v>
      </c>
      <c r="D16" t="str">
        <f>Export!H16</f>
        <v>Relic6</v>
      </c>
      <c r="E16" t="str">
        <f>Export!I16</f>
        <v>Magicite</v>
      </c>
      <c r="F16" s="22">
        <f>Export!J16</f>
        <v>40</v>
      </c>
      <c r="G16" s="22">
        <f>Export!L16</f>
        <v>110</v>
      </c>
      <c r="H16">
        <f>Export!M16</f>
        <v>0</v>
      </c>
      <c r="I16">
        <f>Export!N16</f>
        <v>1.2</v>
      </c>
      <c r="J16" t="str">
        <f>[1]Export!$O37</f>
        <v>Spd</v>
      </c>
      <c r="K16" t="s">
        <v>116</v>
      </c>
      <c r="L16">
        <f>[1]Export!$R37</f>
        <v>0.1</v>
      </c>
      <c r="M16">
        <f>[1]Export!$S37</f>
        <v>0.1</v>
      </c>
      <c r="N16">
        <f>F16+(C16-1)*G16</f>
        <v>27430</v>
      </c>
      <c r="O16">
        <f t="shared" si="1"/>
        <v>25.000000000000004</v>
      </c>
    </row>
    <row r="17" spans="1:15">
      <c r="A17">
        <f>Export!B17</f>
        <v>20007</v>
      </c>
      <c r="B17" t="str">
        <f>Export!F17</f>
        <v>Relic</v>
      </c>
      <c r="C17">
        <f>Export!G17</f>
        <v>250</v>
      </c>
      <c r="D17" t="str">
        <f>Export!H17</f>
        <v>Relic7</v>
      </c>
      <c r="E17" t="str">
        <f>Export!I17</f>
        <v>Magicite</v>
      </c>
      <c r="F17" s="22">
        <f>Export!J17</f>
        <v>40</v>
      </c>
      <c r="G17" s="22">
        <f>Export!L17</f>
        <v>110</v>
      </c>
      <c r="H17">
        <f>Export!M17</f>
        <v>0</v>
      </c>
      <c r="I17">
        <f>Export!N17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Export!B18</f>
        <v>20008</v>
      </c>
      <c r="B18" t="str">
        <f>Export!F18</f>
        <v>Relic</v>
      </c>
      <c r="C18">
        <f>Export!G18</f>
        <v>250</v>
      </c>
      <c r="D18" t="str">
        <f>Export!H18</f>
        <v>Relic8</v>
      </c>
      <c r="E18" t="str">
        <f>Export!I18</f>
        <v>Magicite</v>
      </c>
      <c r="F18" s="22">
        <f>Export!J18</f>
        <v>40</v>
      </c>
      <c r="G18" s="22">
        <f>Export!L18</f>
        <v>110</v>
      </c>
      <c r="H18">
        <f>Export!M18</f>
        <v>0</v>
      </c>
      <c r="I18">
        <f>Export!N18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Export!B19</f>
        <v>20009</v>
      </c>
      <c r="B19" t="str">
        <f>Export!F19</f>
        <v>Relic</v>
      </c>
      <c r="C19">
        <f>Export!G19</f>
        <v>500</v>
      </c>
      <c r="D19" t="str">
        <f>Export!H19</f>
        <v>Relic9</v>
      </c>
      <c r="E19" t="str">
        <f>Export!I19</f>
        <v>Magicite</v>
      </c>
      <c r="F19" s="22">
        <f>Export!J19</f>
        <v>60</v>
      </c>
      <c r="G19" s="22">
        <f>Export!L19</f>
        <v>120</v>
      </c>
      <c r="H19">
        <f>Export!M19</f>
        <v>0</v>
      </c>
      <c r="I19">
        <f>Export!N19</f>
        <v>1.1000000000000001</v>
      </c>
      <c r="J19" t="str">
        <f>[1]Export!$O40</f>
        <v>CritChance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Export!B20</f>
        <v>20010</v>
      </c>
      <c r="B20" t="str">
        <f>Export!F20</f>
        <v>Relic</v>
      </c>
      <c r="C20">
        <f>Export!G20</f>
        <v>500</v>
      </c>
      <c r="D20" t="str">
        <f>Export!H20</f>
        <v>Relic10</v>
      </c>
      <c r="E20" t="str">
        <f>Export!I20</f>
        <v>Magicite</v>
      </c>
      <c r="F20" s="22">
        <f>Export!J20</f>
        <v>60</v>
      </c>
      <c r="G20" s="22">
        <f>Export!L20</f>
        <v>120</v>
      </c>
      <c r="H20">
        <f>Export!M20</f>
        <v>0</v>
      </c>
      <c r="I20">
        <f>Export!N20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Export!B21</f>
        <v>20011</v>
      </c>
      <c r="B21" t="str">
        <f>Export!F21</f>
        <v>Relic</v>
      </c>
      <c r="C21">
        <f>Export!G21</f>
        <v>500</v>
      </c>
      <c r="D21" t="str">
        <f>Export!H21</f>
        <v>Relic11</v>
      </c>
      <c r="E21" t="str">
        <f>Export!I21</f>
        <v>Magicite</v>
      </c>
      <c r="F21" s="22">
        <f>Export!J21</f>
        <v>60</v>
      </c>
      <c r="G21" s="22">
        <f>Export!L21</f>
        <v>120</v>
      </c>
      <c r="H21">
        <f>Export!M21</f>
        <v>0</v>
      </c>
      <c r="I21">
        <f>Export!N21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Export!B22</f>
        <v>20012</v>
      </c>
      <c r="B22" t="str">
        <f>Export!F22</f>
        <v>Relic</v>
      </c>
      <c r="C22">
        <f>Export!G22</f>
        <v>500</v>
      </c>
      <c r="D22" t="str">
        <f>Export!H22</f>
        <v>Relic12</v>
      </c>
      <c r="E22" t="str">
        <f>Export!I22</f>
        <v>Magicite</v>
      </c>
      <c r="F22" s="22">
        <f>Export!J22</f>
        <v>30</v>
      </c>
      <c r="G22" s="22">
        <f>Export!L22</f>
        <v>110</v>
      </c>
      <c r="H22">
        <f>Export!M22</f>
        <v>0</v>
      </c>
      <c r="I22">
        <f>Export!N22</f>
        <v>1.1000000000000001</v>
      </c>
      <c r="J22" t="str">
        <f>[1]Export!$O43</f>
        <v>CritDmg</v>
      </c>
      <c r="K22" t="s">
        <v>122</v>
      </c>
      <c r="L22">
        <f>[1]Export!$R43</f>
        <v>1</v>
      </c>
      <c r="M22">
        <f>[1]Export!$S43</f>
        <v>1</v>
      </c>
      <c r="N22">
        <f t="shared" si="0"/>
        <v>54920</v>
      </c>
      <c r="O22">
        <f t="shared" si="1"/>
        <v>500</v>
      </c>
    </row>
    <row r="23" spans="1:15">
      <c r="A23">
        <f>Export!B23</f>
        <v>20013</v>
      </c>
      <c r="B23" t="str">
        <f>Export!F23</f>
        <v>Relic</v>
      </c>
      <c r="C23">
        <f>Export!G23</f>
        <v>500</v>
      </c>
      <c r="D23" t="str">
        <f>Export!H23</f>
        <v>Relic13</v>
      </c>
      <c r="E23" t="str">
        <f>Export!I23</f>
        <v>Magicite</v>
      </c>
      <c r="F23" s="22">
        <f>Export!J23</f>
        <v>30</v>
      </c>
      <c r="G23" s="22">
        <f>Export!L23</f>
        <v>110</v>
      </c>
      <c r="H23">
        <f>Export!M23</f>
        <v>0</v>
      </c>
      <c r="I23">
        <f>Export!N23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Export!B24</f>
        <v>20014</v>
      </c>
      <c r="B24" t="str">
        <f>Export!F24</f>
        <v>Relic</v>
      </c>
      <c r="C24">
        <f>Export!G24</f>
        <v>500</v>
      </c>
      <c r="D24" t="str">
        <f>Export!H24</f>
        <v>Relic14</v>
      </c>
      <c r="E24" t="str">
        <f>Export!I24</f>
        <v>Magicite</v>
      </c>
      <c r="F24" s="22">
        <f>Export!J24</f>
        <v>30</v>
      </c>
      <c r="G24" s="22">
        <f>Export!L24</f>
        <v>110</v>
      </c>
      <c r="H24">
        <f>Export!M24</f>
        <v>0</v>
      </c>
      <c r="I24">
        <f>Export!N24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Export!B25</f>
        <v>20015</v>
      </c>
      <c r="B25" t="str">
        <f>Export!F25</f>
        <v>Relic</v>
      </c>
      <c r="C25">
        <f>Export!G25</f>
        <v>50</v>
      </c>
      <c r="D25" t="str">
        <f>Export!H25</f>
        <v>Relic15</v>
      </c>
      <c r="E25" t="str">
        <f>Export!I25</f>
        <v>Magicite</v>
      </c>
      <c r="F25" s="22">
        <f>Export!J25</f>
        <v>25</v>
      </c>
      <c r="G25" s="22">
        <f>Export!L25</f>
        <v>125</v>
      </c>
      <c r="H25">
        <f>Export!M25</f>
        <v>0</v>
      </c>
      <c r="I25">
        <f>Export!N25</f>
        <v>2</v>
      </c>
      <c r="J25" t="str">
        <f>[1]Export!$O46</f>
        <v>Hp</v>
      </c>
      <c r="K25" t="s">
        <v>125</v>
      </c>
      <c r="L25">
        <f>[1]Export!$R46</f>
        <v>0.5</v>
      </c>
      <c r="M25">
        <f>[1]Export!$S46</f>
        <v>0.5</v>
      </c>
      <c r="N25">
        <f t="shared" si="0"/>
        <v>6150</v>
      </c>
      <c r="O25">
        <f t="shared" si="1"/>
        <v>25</v>
      </c>
    </row>
    <row r="26" spans="1:15">
      <c r="A26">
        <f>Export!B26</f>
        <v>20016</v>
      </c>
      <c r="B26" t="str">
        <f>Export!F26</f>
        <v>Relic</v>
      </c>
      <c r="C26">
        <f>Export!G26</f>
        <v>50</v>
      </c>
      <c r="D26" t="str">
        <f>Export!H26</f>
        <v>Relic16</v>
      </c>
      <c r="E26" t="str">
        <f>Export!I26</f>
        <v>Magicite</v>
      </c>
      <c r="F26" s="22">
        <f>Export!J26</f>
        <v>25</v>
      </c>
      <c r="G26" s="22">
        <f>Export!L26</f>
        <v>125</v>
      </c>
      <c r="H26">
        <f>Export!M26</f>
        <v>0</v>
      </c>
      <c r="I26">
        <f>Export!N26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Export!B27</f>
        <v>20017</v>
      </c>
      <c r="B27" t="str">
        <f>Export!F27</f>
        <v>Relic</v>
      </c>
      <c r="C27">
        <f>Export!G27</f>
        <v>50</v>
      </c>
      <c r="D27" t="str">
        <f>Export!H27</f>
        <v>Relic17</v>
      </c>
      <c r="E27" t="str">
        <f>Export!I27</f>
        <v>Magicite</v>
      </c>
      <c r="F27" s="22">
        <f>Export!J27</f>
        <v>25</v>
      </c>
      <c r="G27" s="22">
        <f>Export!L27</f>
        <v>125</v>
      </c>
      <c r="H27">
        <f>Export!M27</f>
        <v>0</v>
      </c>
      <c r="I27">
        <f>Export!N27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Export!B28</f>
        <v>20018</v>
      </c>
      <c r="B28" t="str">
        <f>Export!F28</f>
        <v>Relic</v>
      </c>
      <c r="C28">
        <f>Export!G28</f>
        <v>50</v>
      </c>
      <c r="D28" t="str">
        <f>Export!H28</f>
        <v>Relic18</v>
      </c>
      <c r="E28" t="str">
        <f>Export!I28</f>
        <v>Magicite</v>
      </c>
      <c r="F28" s="22">
        <f>Export!J28</f>
        <v>25</v>
      </c>
      <c r="G28" s="22">
        <f>Export!L28</f>
        <v>125</v>
      </c>
      <c r="H28">
        <f>Export!M28</f>
        <v>0</v>
      </c>
      <c r="I28">
        <f>Export!N28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Export!B29</f>
        <v>20019</v>
      </c>
      <c r="B29" t="str">
        <f>Export!F29</f>
        <v>Relic</v>
      </c>
      <c r="C29">
        <f>Export!G29</f>
        <v>50</v>
      </c>
      <c r="D29" t="str">
        <f>Export!H29</f>
        <v>Relic19</v>
      </c>
      <c r="E29" t="str">
        <f>Export!I29</f>
        <v>Magicite</v>
      </c>
      <c r="F29" s="22">
        <f>Export!J29</f>
        <v>25</v>
      </c>
      <c r="G29" s="22">
        <f>Export!L29</f>
        <v>125</v>
      </c>
      <c r="H29">
        <f>Export!M29</f>
        <v>0</v>
      </c>
      <c r="I29">
        <f>Export!N29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Export!B30</f>
        <v>20020</v>
      </c>
      <c r="B30" t="str">
        <f>Export!F30</f>
        <v>Relic</v>
      </c>
      <c r="C30">
        <f>Export!G30</f>
        <v>50</v>
      </c>
      <c r="D30" t="str">
        <f>Export!H30</f>
        <v>Relic20</v>
      </c>
      <c r="E30" t="str">
        <f>Export!I30</f>
        <v>Magicite</v>
      </c>
      <c r="F30" s="22">
        <f>Export!J30</f>
        <v>25</v>
      </c>
      <c r="G30" s="22">
        <f>Export!L30</f>
        <v>125</v>
      </c>
      <c r="H30">
        <f>Export!M30</f>
        <v>0</v>
      </c>
      <c r="I30">
        <f>Export!N30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2022-06-18T07:03:56Z</dcterms:modified>
</cp:coreProperties>
</file>