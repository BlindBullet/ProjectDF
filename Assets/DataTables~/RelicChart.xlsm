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028616E-40A2-4A08-A8D9-23BCB11ABD9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" l="1"/>
  <c r="C11" i="2"/>
  <c r="L11" i="4"/>
  <c r="M11" i="4"/>
  <c r="C11" i="4" l="1"/>
  <c r="C12" i="4"/>
  <c r="N2" i="4"/>
  <c r="J30" i="4"/>
  <c r="L30" i="4"/>
  <c r="M30" i="4"/>
  <c r="M3" i="4"/>
  <c r="M4" i="4"/>
  <c r="M5" i="4"/>
  <c r="M6" i="4"/>
  <c r="M7" i="4"/>
  <c r="M8" i="4"/>
  <c r="M9" i="4"/>
  <c r="M10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L10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N3" i="4" s="1"/>
  <c r="G3" i="4"/>
  <c r="H3" i="4"/>
  <c r="I3" i="4"/>
  <c r="C4" i="4"/>
  <c r="N4" i="4" s="1"/>
  <c r="D4" i="4"/>
  <c r="E4" i="4"/>
  <c r="F4" i="4"/>
  <c r="G4" i="4"/>
  <c r="H4" i="4"/>
  <c r="I4" i="4"/>
  <c r="C5" i="4"/>
  <c r="N5" i="4" s="1"/>
  <c r="D5" i="4"/>
  <c r="E5" i="4"/>
  <c r="F5" i="4"/>
  <c r="G5" i="4"/>
  <c r="H5" i="4"/>
  <c r="I5" i="4"/>
  <c r="C6" i="4"/>
  <c r="N6" i="4" s="1"/>
  <c r="D6" i="4"/>
  <c r="E6" i="4"/>
  <c r="F6" i="4"/>
  <c r="G6" i="4"/>
  <c r="H6" i="4"/>
  <c r="I6" i="4"/>
  <c r="C7" i="4"/>
  <c r="N7" i="4" s="1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N9" i="4" s="1"/>
  <c r="D9" i="4"/>
  <c r="E9" i="4"/>
  <c r="F9" i="4"/>
  <c r="G9" i="4"/>
  <c r="H9" i="4"/>
  <c r="I9" i="4"/>
  <c r="C10" i="4"/>
  <c r="D10" i="4"/>
  <c r="E10" i="4"/>
  <c r="F10" i="4"/>
  <c r="N10" i="4" s="1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N13" i="4" s="1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N15" i="4" s="1"/>
  <c r="G15" i="4"/>
  <c r="H15" i="4"/>
  <c r="I15" i="4"/>
  <c r="C16" i="4"/>
  <c r="D16" i="4"/>
  <c r="E16" i="4"/>
  <c r="F16" i="4"/>
  <c r="N16" i="4" s="1"/>
  <c r="G16" i="4"/>
  <c r="H16" i="4"/>
  <c r="I16" i="4"/>
  <c r="C17" i="4"/>
  <c r="D17" i="4"/>
  <c r="E17" i="4"/>
  <c r="F17" i="4"/>
  <c r="N17" i="4" s="1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N19" i="4" s="1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O25" i="4" s="1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D29" i="4"/>
  <c r="E29" i="4"/>
  <c r="F29" i="4"/>
  <c r="G29" i="4"/>
  <c r="H29" i="4"/>
  <c r="I29" i="4"/>
  <c r="C30" i="4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D3" i="2"/>
  <c r="D4" i="2"/>
  <c r="D5" i="2"/>
  <c r="D6" i="2"/>
  <c r="D7" i="2"/>
  <c r="D8" i="2"/>
  <c r="D9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C2" i="2"/>
  <c r="O16" i="4" l="1"/>
  <c r="N30" i="4"/>
  <c r="O6" i="4"/>
  <c r="O24" i="4"/>
  <c r="O14" i="4"/>
  <c r="O9" i="4"/>
  <c r="O19" i="4"/>
  <c r="O13" i="4"/>
  <c r="O23" i="4"/>
  <c r="O18" i="4"/>
  <c r="O29" i="4"/>
  <c r="O2" i="4"/>
  <c r="O22" i="4"/>
  <c r="O5" i="4"/>
  <c r="O21" i="4"/>
  <c r="O4" i="4"/>
  <c r="O3" i="4"/>
  <c r="O15" i="4"/>
  <c r="O10" i="4"/>
  <c r="O8" i="4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<sst xmlns="http://schemas.openxmlformats.org/spreadsheetml/2006/main" count="238" uniqueCount="135">
  <si>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</si>
  <si>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</si>
  <si>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</si>
  <si>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</si>
  <si>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</si>
  <si>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</si>
  <si>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</si>
  <si>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</si>
  <si>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</si>
  <si>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</si>
  <si>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</si>
  <si>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</si>
  <si>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</si>
  <si>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</si>
  <si>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</si>
  <si>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</si>
  <si>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</si>
  <si>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</si>
  <si>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</si>
  <si>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</si>
  <si>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</si>
  <si>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</si>
  <si>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</si>
  <si>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</si>
  <si>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</si>
  <si>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</si>
  <si>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</si>
  <si>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</si>
  <si>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</si>
  <si>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</si>
  <si>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</si>
  <si>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</si>
  <si>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</si>
  <si>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</si>
  <si>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</si>
  <si>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</si>
  <si>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</si>
  <si>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</si>
  <si>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</si>
  <si>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</si>
  <si>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</si>
  <si>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</si>
  <si>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</si>
  <si>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</si>
  <si>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</si>
  <si>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</si>
  <si>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</si>
  <si>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</si>
  <si>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</si>
  <si>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</si>
  <si>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</si>
  <si>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</si>
  <si>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</si>
  <si>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</si>
  <si>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</si>
  <si>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</si>
  <si>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</si>
  <si>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</si>
  <si>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</si>
  <si>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</si>
  <si>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</si>
  <si>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</si>
  <si>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</si>
  <si>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</si>
  <si>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</si>
  <si>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</si>
  <si>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</si>
  <si>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</si>
  <si>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</si>
  <si>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</si>
  <si>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</si>
  <si>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</si>
  <si>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</si>
  <si>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</si>
  <si>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</si>
  <si>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</si>
  <si>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</si>
  <si>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</si>
  <si>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</si>
  <si>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</si>
  <si>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</si>
  <si>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</si>
  <si>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</si>
  <si>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</si>
  <si>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</si>
  <si>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</si>
  <si>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</si>
  <si>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</si>
  <si>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</si>
  <si>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</si>
  <si>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</si>
  <si>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</si>
  <si>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</si>
  <si>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</si>
  <si>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</si>
  <si>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</si>
  <si>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</si>
  <si>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</si>
  <si>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</si>
  <si>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</si>
  <si>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</si>
  <si>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</si>
  <si>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</si>
  <si>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</si>
  <si>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</si>
  <si>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</si>
  <si>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</si>
  <si>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</si>
  <si>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</si>
  <si>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</si>
  <si>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</si>
  <si>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</si>
  <si>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</si>
  <si>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</si>
  <si>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</si>
  <si>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</si>
  <si>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</si>
  <si>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</si>
  <si>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</si>
  <si>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</si>
  <si>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</si>
  <si>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</si>
  <si>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</si>
  <si>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</si>
  <si>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</si>
  <si>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</si>
  <si>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</si>
  <si>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</si>
  <si>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</si>
  <si>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</si>
  <si>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</si>
  <si>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</si>
  <si>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</si>
  <si>
    <t>Castle11</t>
    <phoneticPr fontId="1" type="noConversion"/>
  </si>
  <si>
    <t>SGI_35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</si>
</sst>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Magicite</v>
          </cell>
          <cell r="R22">
            <v>5</v>
          </cell>
          <cell r="S22">
            <v>5</v>
          </cell>
        </row>
        <row r="23">
          <cell r="O23" t="str">
            <v>StartStage</v>
          </cell>
          <cell r="R23">
            <v>11</v>
          </cell>
          <cell r="S23">
            <v>10</v>
          </cell>
        </row>
        <row r="25">
          <cell r="O25" t="str">
            <v>Amount</v>
          </cell>
          <cell r="R25">
            <v>5</v>
          </cell>
          <cell r="S25">
            <v>5</v>
          </cell>
        </row>
        <row r="26">
          <cell r="O26" t="str">
            <v>Time</v>
          </cell>
          <cell r="R26">
            <v>30</v>
          </cell>
          <cell r="S26">
            <v>30</v>
          </cell>
        </row>
        <row r="27">
          <cell r="O27" t="str">
            <v>Reward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5</v>
          </cell>
          <cell r="S28">
            <v>5</v>
          </cell>
        </row>
        <row r="29">
          <cell r="O29" t="str">
            <v>AutoSkill</v>
          </cell>
          <cell r="R29">
            <v>0.5</v>
          </cell>
          <cell r="S29">
            <v>0.5</v>
          </cell>
        </row>
        <row r="30">
          <cell r="O30" t="str">
            <v>Moat</v>
          </cell>
          <cell r="R30">
            <v>5</v>
          </cell>
          <cell r="S30">
            <v>5</v>
          </cell>
        </row>
        <row r="31">
          <cell r="O31" t="str">
            <v>TouchSkillCool</v>
          </cell>
          <cell r="R31">
            <v>2.5</v>
          </cell>
          <cell r="S31">
            <v>0.5</v>
          </cell>
        </row>
        <row r="32">
          <cell r="O32" t="str">
            <v>AutoLvUp</v>
          </cell>
          <cell r="R32">
            <v>0</v>
          </cell>
        </row>
        <row r="33">
          <cell r="O33" t="str">
            <v>Gold</v>
          </cell>
          <cell r="R33">
            <v>2.5</v>
          </cell>
          <cell r="S33">
            <v>2.5</v>
          </cell>
        </row>
        <row r="34">
          <cell r="O34" t="str">
            <v>LvUpGold</v>
          </cell>
          <cell r="R34">
            <v>2</v>
          </cell>
          <cell r="S34">
            <v>2</v>
          </cell>
        </row>
        <row r="35">
          <cell r="O35" t="str">
            <v>Atk</v>
          </cell>
          <cell r="R35">
            <v>5</v>
          </cell>
          <cell r="S35">
            <v>5</v>
          </cell>
        </row>
        <row r="36">
          <cell r="O36" t="str">
            <v>Atk</v>
          </cell>
          <cell r="R36">
            <v>5</v>
          </cell>
          <cell r="S36">
            <v>5</v>
          </cell>
        </row>
        <row r="37">
          <cell r="O37" t="str">
            <v>Atk</v>
          </cell>
          <cell r="R37">
            <v>5</v>
          </cell>
          <cell r="S37">
            <v>5</v>
          </cell>
        </row>
        <row r="38">
          <cell r="O38" t="str">
            <v>Spd</v>
          </cell>
          <cell r="R38">
            <v>0.1</v>
          </cell>
          <cell r="S38">
            <v>0.1</v>
          </cell>
        </row>
        <row r="39">
          <cell r="O39" t="str">
            <v>Spd</v>
          </cell>
          <cell r="R39">
            <v>0.1</v>
          </cell>
          <cell r="S39">
            <v>0.1</v>
          </cell>
        </row>
        <row r="40">
          <cell r="O40" t="str">
            <v>Spd</v>
          </cell>
          <cell r="R40">
            <v>0.1</v>
          </cell>
          <cell r="S40">
            <v>0.1</v>
          </cell>
        </row>
        <row r="41">
          <cell r="O41" t="str">
            <v>CritChance</v>
          </cell>
          <cell r="R41">
            <v>0.1</v>
          </cell>
          <cell r="S41">
            <v>0.1</v>
          </cell>
        </row>
        <row r="42">
          <cell r="O42" t="str">
            <v>CritChance</v>
          </cell>
          <cell r="R42">
            <v>0.1</v>
          </cell>
          <cell r="S42">
            <v>0.1</v>
          </cell>
        </row>
        <row r="43">
          <cell r="O43" t="str">
            <v>CritChance</v>
          </cell>
          <cell r="R43">
            <v>0.1</v>
          </cell>
          <cell r="S43">
            <v>0.1</v>
          </cell>
        </row>
        <row r="44">
          <cell r="O44" t="str">
            <v>CritDmg</v>
          </cell>
          <cell r="R44">
            <v>1</v>
          </cell>
          <cell r="S44">
            <v>1</v>
          </cell>
        </row>
        <row r="45">
          <cell r="O45" t="str">
            <v>CritDmg</v>
          </cell>
          <cell r="R45">
            <v>1</v>
          </cell>
          <cell r="S45">
            <v>1</v>
          </cell>
        </row>
        <row r="46">
          <cell r="O46" t="str">
            <v>CritDmg</v>
          </cell>
          <cell r="R46">
            <v>1</v>
          </cell>
          <cell r="S46">
            <v>1</v>
          </cell>
        </row>
        <row r="47">
          <cell r="O47" t="str">
            <v>Hp</v>
          </cell>
          <cell r="R47">
            <v>0.5</v>
          </cell>
          <cell r="S47">
            <v>0.5</v>
          </cell>
        </row>
        <row r="48">
          <cell r="O48" t="str">
            <v>Hp</v>
          </cell>
          <cell r="R48">
            <v>0.5</v>
          </cell>
          <cell r="S48">
            <v>0.5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1"/>
  <sheetViews>
    <sheetView tabSelected="1" workbookViewId="0">
      <selection activeCell="J11" sqref="J11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1" si="0">"str_name_"&amp;LOWER(F4)&amp;"_"&amp;B4</f>
        <v>str_name_castle_10004</v>
      </c>
      <c r="D4" t="str">
        <f t="shared" ref="D4:D31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50</v>
      </c>
      <c r="H8" t="s">
        <v>68</v>
      </c>
      <c r="I8" t="s">
        <v>11</v>
      </c>
      <c r="J8">
        <v>100</v>
      </c>
      <c r="K8" t="s">
        <v>11</v>
      </c>
      <c r="L8">
        <v>100</v>
      </c>
      <c r="M8">
        <v>100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10011</v>
      </c>
      <c r="C11" t="str">
        <f t="shared" si="0"/>
        <v>str_name_castle_10011</v>
      </c>
      <c r="D11" t="str">
        <f t="shared" si="1"/>
        <v>str_desc_castle_10011</v>
      </c>
      <c r="E11" t="s">
        <v>134</v>
      </c>
      <c r="F11" t="s">
        <v>61</v>
      </c>
      <c r="G11">
        <v>1</v>
      </c>
      <c r="H11" t="s">
        <v>133</v>
      </c>
      <c r="I11" t="s">
        <v>11</v>
      </c>
      <c r="J11">
        <v>1500</v>
      </c>
      <c r="K11" t="s">
        <v>11</v>
      </c>
      <c r="L11">
        <v>200</v>
      </c>
    </row>
    <row r="12" spans="2:14">
      <c r="B12">
        <v>20001</v>
      </c>
      <c r="C12" t="str">
        <f t="shared" si="0"/>
        <v>str_name_relic_20001</v>
      </c>
      <c r="D12" t="str">
        <f t="shared" si="1"/>
        <v>str_desc_relic_20001</v>
      </c>
      <c r="E12" t="s">
        <v>80</v>
      </c>
      <c r="F12" t="s">
        <v>60</v>
      </c>
      <c r="G12">
        <v>100</v>
      </c>
      <c r="H12" t="s">
        <v>37</v>
      </c>
      <c r="I12" t="s">
        <v>10</v>
      </c>
      <c r="J12">
        <v>25</v>
      </c>
      <c r="K12" t="s">
        <v>10</v>
      </c>
      <c r="L12">
        <v>50</v>
      </c>
      <c r="N12">
        <v>2</v>
      </c>
    </row>
    <row r="13" spans="2:14">
      <c r="B13">
        <v>20002</v>
      </c>
      <c r="C13" t="str">
        <f t="shared" si="0"/>
        <v>str_name_relic_20002</v>
      </c>
      <c r="D13" t="str">
        <f t="shared" si="1"/>
        <v>str_desc_relic_20002</v>
      </c>
      <c r="E13" t="s">
        <v>81</v>
      </c>
      <c r="F13" t="s">
        <v>60</v>
      </c>
      <c r="G13">
        <v>40</v>
      </c>
      <c r="H13" t="s">
        <v>38</v>
      </c>
      <c r="I13" t="s">
        <v>10</v>
      </c>
      <c r="J13">
        <v>150</v>
      </c>
      <c r="K13" t="s">
        <v>10</v>
      </c>
      <c r="L13">
        <v>300</v>
      </c>
      <c r="N13">
        <v>2</v>
      </c>
    </row>
    <row r="14" spans="2:14">
      <c r="B14">
        <v>20003</v>
      </c>
      <c r="C14" t="str">
        <f t="shared" si="0"/>
        <v>str_name_relic_20003</v>
      </c>
      <c r="D14" t="str">
        <f t="shared" si="1"/>
        <v>str_desc_relic_20003</v>
      </c>
      <c r="E14" t="s">
        <v>82</v>
      </c>
      <c r="F14" t="s">
        <v>60</v>
      </c>
      <c r="G14">
        <v>9999</v>
      </c>
      <c r="H14" t="s">
        <v>39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20004</v>
      </c>
      <c r="C15" t="str">
        <f t="shared" si="0"/>
        <v>str_name_relic_20004</v>
      </c>
      <c r="D15" t="str">
        <f t="shared" si="1"/>
        <v>str_desc_relic_20004</v>
      </c>
      <c r="E15" t="s">
        <v>83</v>
      </c>
      <c r="F15" t="s">
        <v>60</v>
      </c>
      <c r="G15">
        <v>9999</v>
      </c>
      <c r="H15" t="s">
        <v>40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20005</v>
      </c>
      <c r="C16" t="str">
        <f t="shared" si="0"/>
        <v>str_name_relic_20005</v>
      </c>
      <c r="D16" t="str">
        <f t="shared" si="1"/>
        <v>str_desc_relic_20005</v>
      </c>
      <c r="E16" t="s">
        <v>84</v>
      </c>
      <c r="F16" t="s">
        <v>60</v>
      </c>
      <c r="G16">
        <v>9999</v>
      </c>
      <c r="H16" t="s">
        <v>41</v>
      </c>
      <c r="I16" t="s">
        <v>10</v>
      </c>
      <c r="J16">
        <v>30</v>
      </c>
      <c r="K16" t="s">
        <v>10</v>
      </c>
      <c r="L16">
        <v>120</v>
      </c>
      <c r="N16">
        <v>1.1000000000000001</v>
      </c>
    </row>
    <row r="17" spans="2:14">
      <c r="B17">
        <v>20006</v>
      </c>
      <c r="C17" t="str">
        <f t="shared" si="0"/>
        <v>str_name_relic_20006</v>
      </c>
      <c r="D17" t="str">
        <f t="shared" si="1"/>
        <v>str_desc_relic_20006</v>
      </c>
      <c r="E17" t="s">
        <v>57</v>
      </c>
      <c r="F17" t="s">
        <v>60</v>
      </c>
      <c r="G17">
        <v>250</v>
      </c>
      <c r="H17" t="s">
        <v>42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20007</v>
      </c>
      <c r="C18" t="str">
        <f t="shared" si="0"/>
        <v>str_name_relic_20007</v>
      </c>
      <c r="D18" t="str">
        <f t="shared" si="1"/>
        <v>str_desc_relic_20007</v>
      </c>
      <c r="E18" t="s">
        <v>97</v>
      </c>
      <c r="F18" t="s">
        <v>60</v>
      </c>
      <c r="G18">
        <v>250</v>
      </c>
      <c r="H18" t="s">
        <v>43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20008</v>
      </c>
      <c r="C19" t="str">
        <f t="shared" si="0"/>
        <v>str_name_relic_20008</v>
      </c>
      <c r="D19" t="str">
        <f t="shared" si="1"/>
        <v>str_desc_relic_20008</v>
      </c>
      <c r="E19" t="s">
        <v>98</v>
      </c>
      <c r="F19" t="s">
        <v>60</v>
      </c>
      <c r="G19">
        <v>250</v>
      </c>
      <c r="H19" t="s">
        <v>44</v>
      </c>
      <c r="I19" t="s">
        <v>10</v>
      </c>
      <c r="J19">
        <v>40</v>
      </c>
      <c r="K19" t="s">
        <v>10</v>
      </c>
      <c r="L19">
        <v>110</v>
      </c>
      <c r="N19">
        <v>1.2</v>
      </c>
    </row>
    <row r="20" spans="2:14">
      <c r="B20">
        <v>20009</v>
      </c>
      <c r="C20" t="str">
        <f t="shared" si="0"/>
        <v>str_name_relic_20009</v>
      </c>
      <c r="D20" t="str">
        <f t="shared" si="1"/>
        <v>str_desc_relic_20009</v>
      </c>
      <c r="E20" t="s">
        <v>94</v>
      </c>
      <c r="F20" t="s">
        <v>60</v>
      </c>
      <c r="G20">
        <v>500</v>
      </c>
      <c r="H20" t="s">
        <v>45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20010</v>
      </c>
      <c r="C21" t="str">
        <f t="shared" si="0"/>
        <v>str_name_relic_20010</v>
      </c>
      <c r="D21" t="str">
        <f t="shared" si="1"/>
        <v>str_desc_relic_20010</v>
      </c>
      <c r="E21" t="s">
        <v>95</v>
      </c>
      <c r="F21" t="s">
        <v>60</v>
      </c>
      <c r="G21">
        <v>500</v>
      </c>
      <c r="H21" t="s">
        <v>46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20011</v>
      </c>
      <c r="C22" t="str">
        <f t="shared" si="0"/>
        <v>str_name_relic_20011</v>
      </c>
      <c r="D22" t="str">
        <f t="shared" si="1"/>
        <v>str_desc_relic_20011</v>
      </c>
      <c r="E22" t="s">
        <v>96</v>
      </c>
      <c r="F22" t="s">
        <v>60</v>
      </c>
      <c r="G22">
        <v>500</v>
      </c>
      <c r="H22" t="s">
        <v>47</v>
      </c>
      <c r="I22" t="s">
        <v>10</v>
      </c>
      <c r="J22">
        <v>60</v>
      </c>
      <c r="K22" t="s">
        <v>10</v>
      </c>
      <c r="L22">
        <v>120</v>
      </c>
      <c r="N22">
        <v>1.1000000000000001</v>
      </c>
    </row>
    <row r="23" spans="2:14">
      <c r="B23">
        <v>20012</v>
      </c>
      <c r="C23" t="str">
        <f t="shared" si="0"/>
        <v>str_name_relic_20012</v>
      </c>
      <c r="D23" t="str">
        <f t="shared" si="1"/>
        <v>str_desc_relic_20012</v>
      </c>
      <c r="E23" t="s">
        <v>88</v>
      </c>
      <c r="F23" t="s">
        <v>60</v>
      </c>
      <c r="G23">
        <v>500</v>
      </c>
      <c r="H23" t="s">
        <v>48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20013</v>
      </c>
      <c r="C24" t="str">
        <f t="shared" si="0"/>
        <v>str_name_relic_20013</v>
      </c>
      <c r="D24" t="str">
        <f t="shared" si="1"/>
        <v>str_desc_relic_20013</v>
      </c>
      <c r="E24" t="s">
        <v>89</v>
      </c>
      <c r="F24" t="s">
        <v>60</v>
      </c>
      <c r="G24">
        <v>500</v>
      </c>
      <c r="H24" t="s">
        <v>49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20014</v>
      </c>
      <c r="C25" t="str">
        <f t="shared" si="0"/>
        <v>str_name_relic_20014</v>
      </c>
      <c r="D25" t="str">
        <f t="shared" si="1"/>
        <v>str_desc_relic_20014</v>
      </c>
      <c r="E25" t="s">
        <v>90</v>
      </c>
      <c r="F25" t="s">
        <v>60</v>
      </c>
      <c r="G25">
        <v>500</v>
      </c>
      <c r="H25" t="s">
        <v>50</v>
      </c>
      <c r="I25" t="s">
        <v>10</v>
      </c>
      <c r="J25">
        <v>30</v>
      </c>
      <c r="K25" t="s">
        <v>10</v>
      </c>
      <c r="L25">
        <v>110</v>
      </c>
      <c r="N25">
        <v>1.1000000000000001</v>
      </c>
    </row>
    <row r="26" spans="2:14">
      <c r="B26">
        <v>20015</v>
      </c>
      <c r="C26" t="str">
        <f t="shared" si="0"/>
        <v>str_name_relic_20015</v>
      </c>
      <c r="D26" t="str">
        <f t="shared" si="1"/>
        <v>str_desc_relic_20015</v>
      </c>
      <c r="E26" t="s">
        <v>91</v>
      </c>
      <c r="F26" t="s">
        <v>60</v>
      </c>
      <c r="G26">
        <v>50</v>
      </c>
      <c r="H26" t="s">
        <v>51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20016</v>
      </c>
      <c r="C27" t="str">
        <f t="shared" si="0"/>
        <v>str_name_relic_20016</v>
      </c>
      <c r="D27" t="str">
        <f t="shared" si="1"/>
        <v>str_desc_relic_20016</v>
      </c>
      <c r="E27" t="s">
        <v>92</v>
      </c>
      <c r="F27" t="s">
        <v>60</v>
      </c>
      <c r="G27">
        <v>50</v>
      </c>
      <c r="H27" t="s">
        <v>52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20017</v>
      </c>
      <c r="C28" t="str">
        <f t="shared" si="0"/>
        <v>str_name_relic_20017</v>
      </c>
      <c r="D28" t="str">
        <f t="shared" si="1"/>
        <v>str_desc_relic_20017</v>
      </c>
      <c r="E28" t="s">
        <v>93</v>
      </c>
      <c r="F28" t="s">
        <v>60</v>
      </c>
      <c r="G28">
        <v>50</v>
      </c>
      <c r="H28" t="s">
        <v>53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20018</v>
      </c>
      <c r="C29" t="str">
        <f t="shared" si="0"/>
        <v>str_name_relic_20018</v>
      </c>
      <c r="D29" t="str">
        <f t="shared" si="1"/>
        <v>str_desc_relic_20018</v>
      </c>
      <c r="E29" t="s">
        <v>85</v>
      </c>
      <c r="F29" t="s">
        <v>60</v>
      </c>
      <c r="G29">
        <v>50</v>
      </c>
      <c r="H29" t="s">
        <v>54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20019</v>
      </c>
      <c r="C30" t="str">
        <f t="shared" si="0"/>
        <v>str_name_relic_20019</v>
      </c>
      <c r="D30" t="str">
        <f t="shared" si="1"/>
        <v>str_desc_relic_20019</v>
      </c>
      <c r="E30" t="s">
        <v>86</v>
      </c>
      <c r="F30" t="s">
        <v>60</v>
      </c>
      <c r="G30">
        <v>50</v>
      </c>
      <c r="H30" t="s">
        <v>55</v>
      </c>
      <c r="I30" t="s">
        <v>10</v>
      </c>
      <c r="J30">
        <v>25</v>
      </c>
      <c r="K30" t="s">
        <v>10</v>
      </c>
      <c r="L30">
        <v>125</v>
      </c>
      <c r="N30">
        <v>2</v>
      </c>
    </row>
    <row r="31" spans="2:14">
      <c r="B31">
        <v>20020</v>
      </c>
      <c r="C31" t="str">
        <f t="shared" si="0"/>
        <v>str_name_relic_20020</v>
      </c>
      <c r="D31" t="str">
        <f t="shared" si="1"/>
        <v>str_desc_relic_20020</v>
      </c>
      <c r="E31" t="s">
        <v>87</v>
      </c>
      <c r="F31" t="s">
        <v>60</v>
      </c>
      <c r="G31">
        <v>50</v>
      </c>
      <c r="H31" t="s">
        <v>56</v>
      </c>
      <c r="I31" t="s">
        <v>10</v>
      </c>
      <c r="J31">
        <v>25</v>
      </c>
      <c r="K31" t="s">
        <v>10</v>
      </c>
      <c r="L31">
        <v>125</v>
      </c>
      <c r="N3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1" sqref="L11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Magicite</v>
      </c>
      <c r="K2" t="s">
        <v>102</v>
      </c>
      <c r="L2">
        <f>[1]Export!$R22</f>
        <v>5</v>
      </c>
      <c r="M2">
        <f>[1]Export!$S22</f>
        <v>5</v>
      </c>
      <c r="N2">
        <f>F2+(C2-1)*G2</f>
        <v>10000</v>
      </c>
      <c r="O2">
        <f>L2+(C2-1)*M2</f>
        <v>500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StartStage</v>
      </c>
      <c r="K3" t="s">
        <v>103</v>
      </c>
      <c r="L3">
        <f>[1]Export!$R23</f>
        <v>11</v>
      </c>
      <c r="M3">
        <f>[1]Export!$S23</f>
        <v>10</v>
      </c>
      <c r="N3">
        <f t="shared" ref="N3:N30" si="0">F3+(C3-1)*G3</f>
        <v>15000</v>
      </c>
      <c r="O3">
        <f t="shared" ref="O3:O30" si="1">L3+(C3-1)*M3</f>
        <v>301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Amount</v>
      </c>
      <c r="K4" t="s">
        <v>104</v>
      </c>
      <c r="L4">
        <f>[1]Export!$R25</f>
        <v>5</v>
      </c>
      <c r="M4">
        <f>[1]Export!$S25</f>
        <v>5</v>
      </c>
      <c r="N4">
        <f>(C4*((2*G4)+(C4-1)*H4))/2</f>
        <v>11500</v>
      </c>
      <c r="O4">
        <f t="shared" si="1"/>
        <v>100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Time</v>
      </c>
      <c r="K5" t="s">
        <v>107</v>
      </c>
      <c r="L5">
        <f>[1]Export!$R26</f>
        <v>30</v>
      </c>
      <c r="M5">
        <f>[1]Export!$S26</f>
        <v>30</v>
      </c>
      <c r="N5">
        <f t="shared" ref="N5:N9" si="2">(C5*((2*G5)+(C5-1)*H5))/2</f>
        <v>23500</v>
      </c>
      <c r="O5">
        <f t="shared" si="1"/>
        <v>1200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Reward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5</v>
      </c>
      <c r="M7">
        <f>[1]Export!$S28</f>
        <v>5</v>
      </c>
      <c r="N7">
        <f t="shared" si="2"/>
        <v>13750</v>
      </c>
      <c r="O7">
        <f t="shared" si="1"/>
        <v>50</v>
      </c>
    </row>
    <row r="8" spans="1:15">
      <c r="A8">
        <f>Export!B8</f>
        <v>10008</v>
      </c>
      <c r="B8" t="str">
        <f>Export!F8</f>
        <v>Castle</v>
      </c>
      <c r="C8">
        <f>Export!G8</f>
        <v>50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100</v>
      </c>
      <c r="H8">
        <f>Export!M8</f>
        <v>100</v>
      </c>
      <c r="I8">
        <f>Export!N8</f>
        <v>0</v>
      </c>
      <c r="J8" t="str">
        <f>[1]Export!$O29</f>
        <v>AutoSkill</v>
      </c>
      <c r="K8" t="s">
        <v>108</v>
      </c>
      <c r="L8">
        <f>[1]Export!$R29</f>
        <v>0.5</v>
      </c>
      <c r="M8">
        <f>[1]Export!$S29</f>
        <v>0.5</v>
      </c>
      <c r="N8">
        <f t="shared" si="2"/>
        <v>127500</v>
      </c>
      <c r="O8">
        <f t="shared" si="1"/>
        <v>25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Moat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TouchSkillCool</v>
      </c>
      <c r="K10" t="s">
        <v>110</v>
      </c>
      <c r="L10">
        <f>[1]Export!$R31</f>
        <v>2.5</v>
      </c>
      <c r="M10">
        <f>[1]Export!$S31</f>
        <v>0.5</v>
      </c>
      <c r="N10">
        <f t="shared" si="0"/>
        <v>8000</v>
      </c>
      <c r="O10">
        <f t="shared" si="1"/>
        <v>22</v>
      </c>
    </row>
    <row r="11" spans="1:15">
      <c r="A11">
        <f>Export!B12</f>
        <v>20001</v>
      </c>
      <c r="B11" t="str">
        <f>Export!F12</f>
        <v>Relic</v>
      </c>
      <c r="C11" s="22">
        <f>Export!G12</f>
        <v>100</v>
      </c>
      <c r="D11" t="str">
        <f>Export!H12</f>
        <v>Relic1</v>
      </c>
      <c r="E11" t="str">
        <f>Export!I12</f>
        <v>Magicite</v>
      </c>
      <c r="F11" s="22">
        <f>Export!J12</f>
        <v>25</v>
      </c>
      <c r="G11" s="22">
        <f>Export!L12</f>
        <v>50</v>
      </c>
      <c r="H11">
        <f>Export!M12</f>
        <v>0</v>
      </c>
      <c r="I11">
        <f>Export!N12</f>
        <v>2</v>
      </c>
      <c r="J11" t="str">
        <f>[1]Export!$O32</f>
        <v>AutoLvUp</v>
      </c>
      <c r="K11" t="s">
        <v>111</v>
      </c>
      <c r="L11">
        <f>[1]Export!$R32</f>
        <v>0</v>
      </c>
      <c r="M11">
        <f>[1]Export!$S32</f>
        <v>0</v>
      </c>
      <c r="N11">
        <f t="shared" si="0"/>
        <v>4975</v>
      </c>
      <c r="O11">
        <f t="shared" si="1"/>
        <v>0</v>
      </c>
    </row>
    <row r="12" spans="1:15">
      <c r="A12">
        <f>Export!B13</f>
        <v>20002</v>
      </c>
      <c r="B12" t="str">
        <f>Export!F13</f>
        <v>Relic</v>
      </c>
      <c r="C12" s="22">
        <f>Export!G13</f>
        <v>40</v>
      </c>
      <c r="D12" t="str">
        <f>Export!H13</f>
        <v>Relic2</v>
      </c>
      <c r="E12" t="str">
        <f>Export!I13</f>
        <v>Magicite</v>
      </c>
      <c r="F12" s="22">
        <f>Export!J13</f>
        <v>150</v>
      </c>
      <c r="G12" s="22">
        <f>Export!L13</f>
        <v>300</v>
      </c>
      <c r="H12">
        <f>Export!M13</f>
        <v>0</v>
      </c>
      <c r="I12">
        <f>Export!N13</f>
        <v>2</v>
      </c>
      <c r="J12" t="str">
        <f>[1]Export!$O33</f>
        <v>Gold</v>
      </c>
      <c r="K12" t="s">
        <v>112</v>
      </c>
      <c r="L12" s="22">
        <f>[1]Export!$R33</f>
        <v>2.5</v>
      </c>
      <c r="M12" s="22">
        <f>[1]Export!$S33</f>
        <v>2.5</v>
      </c>
      <c r="N12">
        <f t="shared" si="0"/>
        <v>11850</v>
      </c>
      <c r="O12">
        <f t="shared" si="1"/>
        <v>100</v>
      </c>
    </row>
    <row r="13" spans="1:15">
      <c r="A13">
        <f>Export!B14</f>
        <v>20003</v>
      </c>
      <c r="B13" t="str">
        <f>Export!F14</f>
        <v>Relic</v>
      </c>
      <c r="C13">
        <f>Export!G14</f>
        <v>9999</v>
      </c>
      <c r="D13" t="str">
        <f>Export!H14</f>
        <v>Relic3</v>
      </c>
      <c r="E13" t="str">
        <f>Export!I14</f>
        <v>Magicite</v>
      </c>
      <c r="F13" s="22">
        <f>Export!J14</f>
        <v>30</v>
      </c>
      <c r="G13" s="22">
        <f>Export!L14</f>
        <v>120</v>
      </c>
      <c r="H13">
        <f>Export!M14</f>
        <v>0</v>
      </c>
      <c r="I13">
        <f>Export!N14</f>
        <v>1.1000000000000001</v>
      </c>
      <c r="J13" t="str">
        <f>[1]Export!$O34</f>
        <v>LvUpGold</v>
      </c>
      <c r="K13" t="s">
        <v>113</v>
      </c>
      <c r="L13">
        <f>[1]Export!$R34</f>
        <v>2</v>
      </c>
      <c r="M13">
        <f>[1]Export!$S34</f>
        <v>2</v>
      </c>
      <c r="N13">
        <f t="shared" si="0"/>
        <v>1199790</v>
      </c>
      <c r="O13">
        <f t="shared" si="1"/>
        <v>19998</v>
      </c>
    </row>
    <row r="14" spans="1:15">
      <c r="A14">
        <f>Export!B15</f>
        <v>20004</v>
      </c>
      <c r="B14" t="str">
        <f>Export!F15</f>
        <v>Relic</v>
      </c>
      <c r="C14">
        <f>Export!G15</f>
        <v>9999</v>
      </c>
      <c r="D14" t="str">
        <f>Export!H15</f>
        <v>Relic4</v>
      </c>
      <c r="E14" t="str">
        <f>Export!I15</f>
        <v>Magicite</v>
      </c>
      <c r="F14" s="22">
        <f>Export!J15</f>
        <v>30</v>
      </c>
      <c r="G14" s="22">
        <f>Export!L15</f>
        <v>120</v>
      </c>
      <c r="H14">
        <f>Export!M15</f>
        <v>0</v>
      </c>
      <c r="I14">
        <f>Export!N15</f>
        <v>1.1000000000000001</v>
      </c>
      <c r="J14" t="str">
        <f>[1]Export!$O35</f>
        <v>Atk</v>
      </c>
      <c r="K14" t="s">
        <v>114</v>
      </c>
      <c r="L14">
        <f>[1]Export!$R35</f>
        <v>5</v>
      </c>
      <c r="M14">
        <f>[1]Export!$S35</f>
        <v>5</v>
      </c>
      <c r="N14">
        <f t="shared" si="0"/>
        <v>1199790</v>
      </c>
      <c r="O14">
        <f t="shared" si="1"/>
        <v>49995</v>
      </c>
    </row>
    <row r="15" spans="1:15">
      <c r="A15">
        <f>Export!B16</f>
        <v>20005</v>
      </c>
      <c r="B15" t="str">
        <f>Export!F16</f>
        <v>Relic</v>
      </c>
      <c r="C15">
        <f>Export!G16</f>
        <v>9999</v>
      </c>
      <c r="D15" t="str">
        <f>Export!H16</f>
        <v>Relic5</v>
      </c>
      <c r="E15" t="str">
        <f>Export!I16</f>
        <v>Magicite</v>
      </c>
      <c r="F15" s="22">
        <f>Export!J16</f>
        <v>30</v>
      </c>
      <c r="G15" s="22">
        <f>Export!L16</f>
        <v>120</v>
      </c>
      <c r="H15">
        <f>Export!M16</f>
        <v>0</v>
      </c>
      <c r="I15">
        <f>Export!N16</f>
        <v>1.1000000000000001</v>
      </c>
      <c r="J15" t="str">
        <f>[1]Export!$O36</f>
        <v>Atk</v>
      </c>
      <c r="K15" t="s">
        <v>115</v>
      </c>
      <c r="L15">
        <f>[1]Export!$R36</f>
        <v>5</v>
      </c>
      <c r="M15">
        <f>[1]Export!$S36</f>
        <v>5</v>
      </c>
      <c r="N15">
        <f t="shared" si="0"/>
        <v>1199790</v>
      </c>
      <c r="O15">
        <f t="shared" si="1"/>
        <v>49995</v>
      </c>
    </row>
    <row r="16" spans="1:15">
      <c r="A16">
        <f>Export!B17</f>
        <v>20006</v>
      </c>
      <c r="B16" t="str">
        <f>Export!F17</f>
        <v>Relic</v>
      </c>
      <c r="C16">
        <f>Export!G17</f>
        <v>250</v>
      </c>
      <c r="D16" t="str">
        <f>Export!H17</f>
        <v>Relic6</v>
      </c>
      <c r="E16" t="str">
        <f>Export!I17</f>
        <v>Magicite</v>
      </c>
      <c r="F16" s="22">
        <f>Export!J17</f>
        <v>40</v>
      </c>
      <c r="G16" s="22">
        <f>Export!L17</f>
        <v>110</v>
      </c>
      <c r="H16">
        <f>Export!M17</f>
        <v>0</v>
      </c>
      <c r="I16">
        <f>Export!N17</f>
        <v>1.2</v>
      </c>
      <c r="J16" t="str">
        <f>[1]Export!$O37</f>
        <v>Atk</v>
      </c>
      <c r="K16" t="s">
        <v>116</v>
      </c>
      <c r="L16">
        <f>[1]Export!$R37</f>
        <v>5</v>
      </c>
      <c r="M16">
        <f>[1]Export!$S37</f>
        <v>5</v>
      </c>
      <c r="N16">
        <f>F16+(C16-1)*G16</f>
        <v>27430</v>
      </c>
      <c r="O16">
        <f t="shared" si="1"/>
        <v>1250</v>
      </c>
    </row>
    <row r="17" spans="1:15">
      <c r="A17">
        <f>Export!B18</f>
        <v>20007</v>
      </c>
      <c r="B17" t="str">
        <f>Export!F18</f>
        <v>Relic</v>
      </c>
      <c r="C17">
        <f>Export!G18</f>
        <v>250</v>
      </c>
      <c r="D17" t="str">
        <f>Export!H18</f>
        <v>Relic7</v>
      </c>
      <c r="E17" t="str">
        <f>Export!I18</f>
        <v>Magicite</v>
      </c>
      <c r="F17" s="22">
        <f>Export!J18</f>
        <v>40</v>
      </c>
      <c r="G17" s="22">
        <f>Export!L18</f>
        <v>110</v>
      </c>
      <c r="H17">
        <f>Export!M18</f>
        <v>0</v>
      </c>
      <c r="I17">
        <f>Export!N18</f>
        <v>1.2</v>
      </c>
      <c r="J17" t="str">
        <f>[1]Export!$O38</f>
        <v>Spd</v>
      </c>
      <c r="K17" t="s">
        <v>117</v>
      </c>
      <c r="L17">
        <f>[1]Export!$R38</f>
        <v>0.1</v>
      </c>
      <c r="M17">
        <f>[1]Export!$S38</f>
        <v>0.1</v>
      </c>
      <c r="N17">
        <f t="shared" si="0"/>
        <v>27430</v>
      </c>
      <c r="O17">
        <f t="shared" si="1"/>
        <v>25.000000000000004</v>
      </c>
    </row>
    <row r="18" spans="1:15">
      <c r="A18">
        <f>Export!B19</f>
        <v>20008</v>
      </c>
      <c r="B18" t="str">
        <f>Export!F19</f>
        <v>Relic</v>
      </c>
      <c r="C18">
        <f>Export!G19</f>
        <v>250</v>
      </c>
      <c r="D18" t="str">
        <f>Export!H19</f>
        <v>Relic8</v>
      </c>
      <c r="E18" t="str">
        <f>Export!I19</f>
        <v>Magicite</v>
      </c>
      <c r="F18" s="22">
        <f>Export!J19</f>
        <v>40</v>
      </c>
      <c r="G18" s="22">
        <f>Export!L19</f>
        <v>110</v>
      </c>
      <c r="H18">
        <f>Export!M19</f>
        <v>0</v>
      </c>
      <c r="I18">
        <f>Export!N19</f>
        <v>1.2</v>
      </c>
      <c r="J18" t="str">
        <f>[1]Export!$O39</f>
        <v>Spd</v>
      </c>
      <c r="K18" t="s">
        <v>118</v>
      </c>
      <c r="L18">
        <f>[1]Export!$R39</f>
        <v>0.1</v>
      </c>
      <c r="M18">
        <f>[1]Export!$S39</f>
        <v>0.1</v>
      </c>
      <c r="N18">
        <f t="shared" si="0"/>
        <v>27430</v>
      </c>
      <c r="O18">
        <f t="shared" si="1"/>
        <v>25.000000000000004</v>
      </c>
    </row>
    <row r="19" spans="1:15">
      <c r="A19">
        <f>Export!B20</f>
        <v>20009</v>
      </c>
      <c r="B19" t="str">
        <f>Export!F20</f>
        <v>Relic</v>
      </c>
      <c r="C19">
        <f>Export!G20</f>
        <v>500</v>
      </c>
      <c r="D19" t="str">
        <f>Export!H20</f>
        <v>Relic9</v>
      </c>
      <c r="E19" t="str">
        <f>Export!I20</f>
        <v>Magicite</v>
      </c>
      <c r="F19" s="22">
        <f>Export!J20</f>
        <v>60</v>
      </c>
      <c r="G19" s="22">
        <f>Export!L20</f>
        <v>120</v>
      </c>
      <c r="H19">
        <f>Export!M20</f>
        <v>0</v>
      </c>
      <c r="I19">
        <f>Export!N20</f>
        <v>1.1000000000000001</v>
      </c>
      <c r="J19" t="str">
        <f>[1]Export!$O40</f>
        <v>Spd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Export!B21</f>
        <v>20010</v>
      </c>
      <c r="B20" t="str">
        <f>Export!F21</f>
        <v>Relic</v>
      </c>
      <c r="C20">
        <f>Export!G21</f>
        <v>500</v>
      </c>
      <c r="D20" t="str">
        <f>Export!H21</f>
        <v>Relic10</v>
      </c>
      <c r="E20" t="str">
        <f>Export!I21</f>
        <v>Magicite</v>
      </c>
      <c r="F20" s="22">
        <f>Export!J21</f>
        <v>60</v>
      </c>
      <c r="G20" s="22">
        <f>Export!L21</f>
        <v>120</v>
      </c>
      <c r="H20">
        <f>Export!M21</f>
        <v>0</v>
      </c>
      <c r="I20">
        <f>Export!N21</f>
        <v>1.1000000000000001</v>
      </c>
      <c r="J20" t="str">
        <f>[1]Export!$O41</f>
        <v>CritChance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Export!B22</f>
        <v>20011</v>
      </c>
      <c r="B21" t="str">
        <f>Export!F22</f>
        <v>Relic</v>
      </c>
      <c r="C21">
        <f>Export!G22</f>
        <v>500</v>
      </c>
      <c r="D21" t="str">
        <f>Export!H22</f>
        <v>Relic11</v>
      </c>
      <c r="E21" t="str">
        <f>Export!I22</f>
        <v>Magicite</v>
      </c>
      <c r="F21" s="22">
        <f>Export!J22</f>
        <v>60</v>
      </c>
      <c r="G21" s="22">
        <f>Export!L22</f>
        <v>120</v>
      </c>
      <c r="H21">
        <f>Export!M22</f>
        <v>0</v>
      </c>
      <c r="I21">
        <f>Export!N22</f>
        <v>1.1000000000000001</v>
      </c>
      <c r="J21" t="str">
        <f>[1]Export!$O42</f>
        <v>CritChance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Export!B23</f>
        <v>20012</v>
      </c>
      <c r="B22" t="str">
        <f>Export!F23</f>
        <v>Relic</v>
      </c>
      <c r="C22">
        <f>Export!G23</f>
        <v>500</v>
      </c>
      <c r="D22" t="str">
        <f>Export!H23</f>
        <v>Relic12</v>
      </c>
      <c r="E22" t="str">
        <f>Export!I23</f>
        <v>Magicite</v>
      </c>
      <c r="F22" s="22">
        <f>Export!J23</f>
        <v>30</v>
      </c>
      <c r="G22" s="22">
        <f>Export!L23</f>
        <v>110</v>
      </c>
      <c r="H22">
        <f>Export!M23</f>
        <v>0</v>
      </c>
      <c r="I22">
        <f>Export!N23</f>
        <v>1.1000000000000001</v>
      </c>
      <c r="J22" t="str">
        <f>[1]Export!$O43</f>
        <v>CritChance</v>
      </c>
      <c r="K22" t="s">
        <v>122</v>
      </c>
      <c r="L22">
        <f>[1]Export!$R43</f>
        <v>0.1</v>
      </c>
      <c r="M22">
        <f>[1]Export!$S43</f>
        <v>0.1</v>
      </c>
      <c r="N22">
        <f t="shared" si="0"/>
        <v>54920</v>
      </c>
      <c r="O22">
        <f t="shared" si="1"/>
        <v>50.000000000000007</v>
      </c>
    </row>
    <row r="23" spans="1:15">
      <c r="A23">
        <f>Export!B24</f>
        <v>20013</v>
      </c>
      <c r="B23" t="str">
        <f>Export!F24</f>
        <v>Relic</v>
      </c>
      <c r="C23">
        <f>Export!G24</f>
        <v>500</v>
      </c>
      <c r="D23" t="str">
        <f>Export!H24</f>
        <v>Relic13</v>
      </c>
      <c r="E23" t="str">
        <f>Export!I24</f>
        <v>Magicite</v>
      </c>
      <c r="F23" s="22">
        <f>Export!J24</f>
        <v>30</v>
      </c>
      <c r="G23" s="22">
        <f>Export!L24</f>
        <v>110</v>
      </c>
      <c r="H23">
        <f>Export!M24</f>
        <v>0</v>
      </c>
      <c r="I23">
        <f>Export!N24</f>
        <v>1.1000000000000001</v>
      </c>
      <c r="J23" t="str">
        <f>[1]Export!$O44</f>
        <v>CritDmg</v>
      </c>
      <c r="K23" t="s">
        <v>123</v>
      </c>
      <c r="L23">
        <f>[1]Export!$R44</f>
        <v>1</v>
      </c>
      <c r="M23">
        <f>[1]Export!$S44</f>
        <v>1</v>
      </c>
      <c r="N23">
        <f t="shared" si="0"/>
        <v>54920</v>
      </c>
      <c r="O23">
        <f t="shared" si="1"/>
        <v>500</v>
      </c>
    </row>
    <row r="24" spans="1:15">
      <c r="A24">
        <f>Export!B25</f>
        <v>20014</v>
      </c>
      <c r="B24" t="str">
        <f>Export!F25</f>
        <v>Relic</v>
      </c>
      <c r="C24">
        <f>Export!G25</f>
        <v>500</v>
      </c>
      <c r="D24" t="str">
        <f>Export!H25</f>
        <v>Relic14</v>
      </c>
      <c r="E24" t="str">
        <f>Export!I25</f>
        <v>Magicite</v>
      </c>
      <c r="F24" s="22">
        <f>Export!J25</f>
        <v>30</v>
      </c>
      <c r="G24" s="22">
        <f>Export!L25</f>
        <v>110</v>
      </c>
      <c r="H24">
        <f>Export!M25</f>
        <v>0</v>
      </c>
      <c r="I24">
        <f>Export!N25</f>
        <v>1.1000000000000001</v>
      </c>
      <c r="J24" t="str">
        <f>[1]Export!$O45</f>
        <v>CritDmg</v>
      </c>
      <c r="K24" t="s">
        <v>124</v>
      </c>
      <c r="L24">
        <f>[1]Export!$R45</f>
        <v>1</v>
      </c>
      <c r="M24">
        <f>[1]Export!$S45</f>
        <v>1</v>
      </c>
      <c r="N24">
        <f t="shared" si="0"/>
        <v>54920</v>
      </c>
      <c r="O24">
        <f t="shared" si="1"/>
        <v>500</v>
      </c>
    </row>
    <row r="25" spans="1:15">
      <c r="A25">
        <f>Export!B26</f>
        <v>20015</v>
      </c>
      <c r="B25" t="str">
        <f>Export!F26</f>
        <v>Relic</v>
      </c>
      <c r="C25">
        <f>Export!G26</f>
        <v>50</v>
      </c>
      <c r="D25" t="str">
        <f>Export!H26</f>
        <v>Relic15</v>
      </c>
      <c r="E25" t="str">
        <f>Export!I26</f>
        <v>Magicite</v>
      </c>
      <c r="F25" s="22">
        <f>Export!J26</f>
        <v>25</v>
      </c>
      <c r="G25" s="22">
        <f>Export!L26</f>
        <v>125</v>
      </c>
      <c r="H25">
        <f>Export!M26</f>
        <v>0</v>
      </c>
      <c r="I25">
        <f>Export!N26</f>
        <v>2</v>
      </c>
      <c r="J25" t="str">
        <f>[1]Export!$O46</f>
        <v>CritDmg</v>
      </c>
      <c r="K25" t="s">
        <v>125</v>
      </c>
      <c r="L25">
        <f>[1]Export!$R46</f>
        <v>1</v>
      </c>
      <c r="M25">
        <f>[1]Export!$S46</f>
        <v>1</v>
      </c>
      <c r="N25">
        <f t="shared" si="0"/>
        <v>6150</v>
      </c>
      <c r="O25">
        <f t="shared" si="1"/>
        <v>50</v>
      </c>
    </row>
    <row r="26" spans="1:15">
      <c r="A26">
        <f>Export!B27</f>
        <v>20016</v>
      </c>
      <c r="B26" t="str">
        <f>Export!F27</f>
        <v>Relic</v>
      </c>
      <c r="C26">
        <f>Export!G27</f>
        <v>50</v>
      </c>
      <c r="D26" t="str">
        <f>Export!H27</f>
        <v>Relic16</v>
      </c>
      <c r="E26" t="str">
        <f>Export!I27</f>
        <v>Magicite</v>
      </c>
      <c r="F26" s="22">
        <f>Export!J27</f>
        <v>25</v>
      </c>
      <c r="G26" s="22">
        <f>Export!L27</f>
        <v>125</v>
      </c>
      <c r="H26">
        <f>Export!M27</f>
        <v>0</v>
      </c>
      <c r="I26">
        <f>Export!N27</f>
        <v>2</v>
      </c>
      <c r="J26" t="str">
        <f>[1]Export!$O47</f>
        <v>Hp</v>
      </c>
      <c r="K26" t="s">
        <v>126</v>
      </c>
      <c r="L26">
        <f>[1]Export!$R47</f>
        <v>0.5</v>
      </c>
      <c r="M26">
        <f>[1]Export!$S47</f>
        <v>0.5</v>
      </c>
      <c r="N26">
        <f t="shared" si="0"/>
        <v>6150</v>
      </c>
      <c r="O26">
        <f t="shared" si="1"/>
        <v>25</v>
      </c>
    </row>
    <row r="27" spans="1:15">
      <c r="A27">
        <f>Export!B28</f>
        <v>20017</v>
      </c>
      <c r="B27" t="str">
        <f>Export!F28</f>
        <v>Relic</v>
      </c>
      <c r="C27">
        <f>Export!G28</f>
        <v>50</v>
      </c>
      <c r="D27" t="str">
        <f>Export!H28</f>
        <v>Relic17</v>
      </c>
      <c r="E27" t="str">
        <f>Export!I28</f>
        <v>Magicite</v>
      </c>
      <c r="F27" s="22">
        <f>Export!J28</f>
        <v>25</v>
      </c>
      <c r="G27" s="22">
        <f>Export!L28</f>
        <v>125</v>
      </c>
      <c r="H27">
        <f>Export!M28</f>
        <v>0</v>
      </c>
      <c r="I27">
        <f>Export!N28</f>
        <v>2</v>
      </c>
      <c r="J27" t="str">
        <f>[1]Export!$O48</f>
        <v>Hp</v>
      </c>
      <c r="K27" t="s">
        <v>127</v>
      </c>
      <c r="L27">
        <f>[1]Export!$R48</f>
        <v>0.5</v>
      </c>
      <c r="M27">
        <f>[1]Export!$S48</f>
        <v>0.5</v>
      </c>
      <c r="N27">
        <f t="shared" si="0"/>
        <v>6150</v>
      </c>
      <c r="O27">
        <f t="shared" si="1"/>
        <v>25</v>
      </c>
    </row>
    <row r="28" spans="1:15">
      <c r="A28">
        <f>Export!B29</f>
        <v>20018</v>
      </c>
      <c r="B28" t="str">
        <f>Export!F29</f>
        <v>Relic</v>
      </c>
      <c r="C28">
        <f>Export!G29</f>
        <v>50</v>
      </c>
      <c r="D28" t="str">
        <f>Export!H29</f>
        <v>Relic18</v>
      </c>
      <c r="E28" t="str">
        <f>Export!I29</f>
        <v>Magicite</v>
      </c>
      <c r="F28" s="22">
        <f>Export!J29</f>
        <v>25</v>
      </c>
      <c r="G28" s="22">
        <f>Export!L29</f>
        <v>125</v>
      </c>
      <c r="H28">
        <f>Export!M29</f>
        <v>0</v>
      </c>
      <c r="I28">
        <f>Export!N29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Export!B30</f>
        <v>20019</v>
      </c>
      <c r="B29" t="str">
        <f>Export!F30</f>
        <v>Relic</v>
      </c>
      <c r="C29">
        <f>Export!G30</f>
        <v>50</v>
      </c>
      <c r="D29" t="str">
        <f>Export!H30</f>
        <v>Relic19</v>
      </c>
      <c r="E29" t="str">
        <f>Export!I30</f>
        <v>Magicite</v>
      </c>
      <c r="F29" s="22">
        <f>Export!J30</f>
        <v>25</v>
      </c>
      <c r="G29" s="22">
        <f>Export!L30</f>
        <v>125</v>
      </c>
      <c r="H29">
        <f>Export!M30</f>
        <v>0</v>
      </c>
      <c r="I29">
        <f>Export!N30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Export!B31</f>
        <v>20020</v>
      </c>
      <c r="B30" t="str">
        <f>Export!F31</f>
        <v>Relic</v>
      </c>
      <c r="C30">
        <f>Export!G31</f>
        <v>50</v>
      </c>
      <c r="D30" t="str">
        <f>Export!H31</f>
        <v>Relic20</v>
      </c>
      <c r="E30" t="str">
        <f>Export!I31</f>
        <v>Magicite</v>
      </c>
      <c r="F30" s="22">
        <f>Export!J31</f>
        <v>25</v>
      </c>
      <c r="G30" s="22">
        <f>Export!L31</f>
        <v>125</v>
      </c>
      <c r="H30">
        <f>Export!M31</f>
        <v>0</v>
      </c>
      <c r="I30">
        <f>Export!N31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2022-07-09T15:02:34Z</dcterms:modified>
</cp:coreProperties>
</file>