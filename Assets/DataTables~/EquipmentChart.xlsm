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C013BA23-0FEF-44BC-B70E-E22F4799BD3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47" i="2" l="1"/>
  <c r="J47" i="2"/>
  <c r="I47" i="2"/>
  <c r="H47" i="2"/>
  <c r="C47" i="2"/>
  <c r="K42" i="2"/>
  <c r="J42" i="2"/>
  <c r="I42" i="2"/>
  <c r="H42" i="2"/>
  <c r="C42" i="2"/>
  <c r="K37" i="2"/>
  <c r="J37" i="2"/>
  <c r="I37" i="2"/>
  <c r="H37" i="2"/>
  <c r="C37" i="2"/>
  <c r="K32" i="2"/>
  <c r="J32" i="2"/>
  <c r="I32" i="2"/>
  <c r="H32" i="2"/>
  <c r="C32" i="2"/>
  <c r="K27" i="2"/>
  <c r="J27" i="2"/>
  <c r="I27" i="2"/>
  <c r="H27" i="2"/>
  <c r="C27" i="2"/>
  <c r="K22" i="2"/>
  <c r="J22" i="2"/>
  <c r="I22" i="2"/>
  <c r="H22" i="2"/>
  <c r="C22" i="2"/>
  <c r="K17" i="2"/>
  <c r="J17" i="2"/>
  <c r="I17" i="2"/>
  <c r="H17" i="2"/>
  <c r="C17" i="2"/>
  <c r="K12" i="2"/>
  <c r="J12" i="2"/>
  <c r="I12" i="2"/>
  <c r="H12" i="2"/>
  <c r="C12" i="2"/>
  <c r="K7" i="2"/>
  <c r="J7" i="2"/>
  <c r="I7" i="2"/>
  <c r="H7" i="2"/>
  <c r="C7" i="2"/>
  <c r="K6" i="2"/>
  <c r="J6" i="2"/>
  <c r="I6" i="2"/>
  <c r="H6" i="2"/>
  <c r="C6" i="2"/>
  <c r="K3" i="2"/>
  <c r="K4" i="2"/>
  <c r="K5" i="2"/>
  <c r="K8" i="2"/>
  <c r="K9" i="2"/>
  <c r="K10" i="2"/>
  <c r="K11" i="2"/>
  <c r="K13" i="2"/>
  <c r="K14" i="2"/>
  <c r="K15" i="2"/>
  <c r="K16" i="2"/>
  <c r="K18" i="2"/>
  <c r="K19" i="2"/>
  <c r="K20" i="2"/>
  <c r="K21" i="2"/>
  <c r="K23" i="2"/>
  <c r="K24" i="2"/>
  <c r="K25" i="2"/>
  <c r="K26" i="2"/>
  <c r="K28" i="2"/>
  <c r="K29" i="2"/>
  <c r="K30" i="2"/>
  <c r="K31" i="2"/>
  <c r="K33" i="2"/>
  <c r="K34" i="2"/>
  <c r="K35" i="2"/>
  <c r="K36" i="2"/>
  <c r="K38" i="2"/>
  <c r="K39" i="2"/>
  <c r="K40" i="2"/>
  <c r="K41" i="2"/>
  <c r="K43" i="2"/>
  <c r="K44" i="2"/>
  <c r="K45" i="2"/>
  <c r="K46" i="2"/>
  <c r="K48" i="2"/>
  <c r="K49" i="2"/>
  <c r="K50" i="2"/>
  <c r="K51" i="2"/>
  <c r="K2" i="2"/>
  <c r="I3" i="2"/>
  <c r="I4" i="2"/>
  <c r="I5" i="2"/>
  <c r="I8" i="2"/>
  <c r="I9" i="2"/>
  <c r="I10" i="2"/>
  <c r="I11" i="2"/>
  <c r="I13" i="2"/>
  <c r="I14" i="2"/>
  <c r="I15" i="2"/>
  <c r="I16" i="2"/>
  <c r="I18" i="2"/>
  <c r="I19" i="2"/>
  <c r="I20" i="2"/>
  <c r="I21" i="2"/>
  <c r="I23" i="2"/>
  <c r="I24" i="2"/>
  <c r="I25" i="2"/>
  <c r="I26" i="2"/>
  <c r="I28" i="2"/>
  <c r="I29" i="2"/>
  <c r="I30" i="2"/>
  <c r="I31" i="2"/>
  <c r="I33" i="2"/>
  <c r="I34" i="2"/>
  <c r="I35" i="2"/>
  <c r="I36" i="2"/>
  <c r="I38" i="2"/>
  <c r="I39" i="2"/>
  <c r="I40" i="2"/>
  <c r="I41" i="2"/>
  <c r="I43" i="2"/>
  <c r="I44" i="2"/>
  <c r="I45" i="2"/>
  <c r="I46" i="2"/>
  <c r="I48" i="2"/>
  <c r="I49" i="2"/>
  <c r="I50" i="2"/>
  <c r="I51" i="2"/>
  <c r="I2" i="2"/>
  <c r="H3" i="2"/>
  <c r="H4" i="2"/>
  <c r="H5" i="2"/>
  <c r="H8" i="2"/>
  <c r="H9" i="2"/>
  <c r="H10" i="2"/>
  <c r="H11" i="2"/>
  <c r="H13" i="2"/>
  <c r="H14" i="2"/>
  <c r="H15" i="2"/>
  <c r="H16" i="2"/>
  <c r="H18" i="2"/>
  <c r="H19" i="2"/>
  <c r="H20" i="2"/>
  <c r="H21" i="2"/>
  <c r="H23" i="2"/>
  <c r="H24" i="2"/>
  <c r="H25" i="2"/>
  <c r="H26" i="2"/>
  <c r="H28" i="2"/>
  <c r="H29" i="2"/>
  <c r="H30" i="2"/>
  <c r="H31" i="2"/>
  <c r="H33" i="2"/>
  <c r="H34" i="2"/>
  <c r="H35" i="2"/>
  <c r="H36" i="2"/>
  <c r="H38" i="2"/>
  <c r="H39" i="2"/>
  <c r="H40" i="2"/>
  <c r="H41" i="2"/>
  <c r="H43" i="2"/>
  <c r="H44" i="2"/>
  <c r="H45" i="2"/>
  <c r="H46" i="2"/>
  <c r="H48" i="2"/>
  <c r="H49" i="2"/>
  <c r="H50" i="2"/>
  <c r="H51" i="2"/>
  <c r="J3" i="2"/>
  <c r="J4" i="2"/>
  <c r="J5" i="2"/>
  <c r="J8" i="2"/>
  <c r="J9" i="2"/>
  <c r="J10" i="2"/>
  <c r="J11" i="2"/>
  <c r="J13" i="2"/>
  <c r="J14" i="2"/>
  <c r="J15" i="2"/>
  <c r="J16" i="2"/>
  <c r="J18" i="2"/>
  <c r="J19" i="2"/>
  <c r="J20" i="2"/>
  <c r="J21" i="2"/>
  <c r="J23" i="2"/>
  <c r="J24" i="2"/>
  <c r="J25" i="2"/>
  <c r="J26" i="2"/>
  <c r="J28" i="2"/>
  <c r="J29" i="2"/>
  <c r="J30" i="2"/>
  <c r="J31" i="2"/>
  <c r="J33" i="2"/>
  <c r="J34" i="2"/>
  <c r="J35" i="2"/>
  <c r="J36" i="2"/>
  <c r="J38" i="2"/>
  <c r="J39" i="2"/>
  <c r="J40" i="2"/>
  <c r="J41" i="2"/>
  <c r="J43" i="2"/>
  <c r="J44" i="2"/>
  <c r="J45" i="2"/>
  <c r="J46" i="2"/>
  <c r="J48" i="2"/>
  <c r="J49" i="2"/>
  <c r="J50" i="2"/>
  <c r="J51" i="2"/>
  <c r="J2" i="2"/>
  <c r="H2" i="2"/>
  <c r="C51" i="2"/>
  <c r="C50" i="2"/>
  <c r="C49" i="2"/>
  <c r="C48" i="2"/>
  <c r="C46" i="2"/>
  <c r="C45" i="2"/>
  <c r="C44" i="2"/>
  <c r="C43" i="2"/>
  <c r="C41" i="2"/>
  <c r="C40" i="2"/>
  <c r="C39" i="2"/>
  <c r="C38" i="2"/>
  <c r="C36" i="2"/>
  <c r="C35" i="2"/>
  <c r="C34" i="2"/>
  <c r="C33" i="2"/>
  <c r="C31" i="2"/>
  <c r="C30" i="2"/>
  <c r="C29" i="2"/>
  <c r="C28" i="2"/>
  <c r="C11" i="2"/>
  <c r="C18" i="2"/>
  <c r="C19" i="2"/>
  <c r="C20" i="2"/>
  <c r="C21" i="2"/>
  <c r="C23" i="2"/>
  <c r="C24" i="2"/>
  <c r="C25" i="2"/>
  <c r="C26" i="2"/>
  <c r="C3" i="2" l="1"/>
  <c r="C4" i="2"/>
  <c r="C5" i="2"/>
  <c r="C8" i="2"/>
  <c r="C9" i="2"/>
  <c r="C10" i="2"/>
  <c r="C13" i="2"/>
  <c r="C14" i="2"/>
  <c r="C15" i="2"/>
  <c r="C16" i="2"/>
  <c r="C2" i="2"/>
</calcChain>
</file>

<file path=xl/sharedStrings.xml><?xml version="1.0" encoding="utf-8"?>
<sst xmlns="http://schemas.openxmlformats.org/spreadsheetml/2006/main" count="110" uniqueCount="14">
  <si>
    <t>Id</t>
    <phoneticPr fontId="1" type="noConversion"/>
  </si>
  <si>
    <t>Type</t>
    <phoneticPr fontId="1" type="noConversion"/>
  </si>
  <si>
    <t>Name</t>
    <phoneticPr fontId="1" type="noConversion"/>
  </si>
  <si>
    <t>Icon</t>
    <phoneticPr fontId="1" type="noConversion"/>
  </si>
  <si>
    <t>CollectionEffect</t>
    <phoneticPr fontId="1" type="noConversion"/>
  </si>
  <si>
    <t>EquipEffect</t>
    <phoneticPr fontId="1" type="noConversion"/>
  </si>
  <si>
    <t>Grade</t>
    <phoneticPr fontId="1" type="noConversion"/>
  </si>
  <si>
    <t>Level</t>
    <phoneticPr fontId="1" type="noConversion"/>
  </si>
  <si>
    <t>Acc</t>
    <phoneticPr fontId="1" type="noConversion"/>
  </si>
  <si>
    <t>necklace_02</t>
  </si>
  <si>
    <t>Sword_01</t>
  </si>
  <si>
    <t>EquipEffectDesc</t>
    <phoneticPr fontId="1" type="noConversion"/>
  </si>
  <si>
    <t>CollectionEffectDesc</t>
    <phoneticPr fontId="1" type="noConversion"/>
  </si>
  <si>
    <t>Weapon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</si>
</sst>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K51"/>
  <sheetViews>
    <sheetView tabSelected="1" workbookViewId="0">
      <selection activeCell="D6" sqref="D6"/>
    </sheetView>
  </sheetViews>
  <sheetFormatPr defaultRowHeight="17.399999999999999" x14ac:dyDescent="0.4"/>
  <cols>
    <col min="1" max="1" width="43.59765625" customWidth="1"/>
    <col min="3" max="3" width="25.796875" bestFit="1" customWidth="1"/>
    <col min="4" max="4" width="10.19921875" customWidth="1"/>
    <col min="5" max="7" width="12.3984375" customWidth="1"/>
    <col min="8" max="8" width="18.5" bestFit="1" customWidth="1"/>
    <col min="9" max="9" width="26.5" bestFit="1" customWidth="1"/>
    <col min="10" max="10" width="18.3984375" bestFit="1" customWidth="1"/>
    <col min="11" max="11" width="26.3984375" bestFit="1" customWidth="1"/>
  </cols>
  <sheetData>
    <row r="1" spans="2:11" ht="33.75" customHeight="1" x14ac:dyDescent="0.4">
      <c r="B1" t="s">
        <v>0</v>
      </c>
      <c r="C1" t="s">
        <v>2</v>
      </c>
      <c r="D1" t="s">
        <v>1</v>
      </c>
      <c r="E1" t="s">
        <v>3</v>
      </c>
      <c r="F1" t="s">
        <v>6</v>
      </c>
      <c r="G1" t="s">
        <v>7</v>
      </c>
      <c r="H1" t="s">
        <v>5</v>
      </c>
      <c r="I1" t="s">
        <v>11</v>
      </c>
      <c r="J1" t="s">
        <v>4</v>
      </c>
      <c r="K1" t="s">
        <v>12</v>
      </c>
    </row>
    <row r="2" spans="2:11" x14ac:dyDescent="0.4">
      <c r="B2">
        <v>10001</v>
      </c>
      <c r="C2" t="str">
        <f>"name_equipment_"&amp;B2</f>
        <v>name_equipment_10001</v>
      </c>
      <c r="D2" t="s">
        <v>13</v>
      </c>
      <c r="E2" t="s">
        <v>10</v>
      </c>
      <c r="F2">
        <v>1</v>
      </c>
      <c r="G2">
        <v>5</v>
      </c>
      <c r="H2" t="str">
        <f>"equipment_e_"&amp;B2</f>
        <v>equipment_e_10001</v>
      </c>
      <c r="I2" t="str">
        <f>"equipment_ee_desc_"&amp;D2</f>
        <v>equipment_ee_desc_Weapon</v>
      </c>
      <c r="J2" t="str">
        <f>"equipment_c_"&amp;B2</f>
        <v>equipment_c_10001</v>
      </c>
      <c r="K2" t="str">
        <f>"equipment_ce_desc_"&amp;D2</f>
        <v>equipment_ce_desc_Weapon</v>
      </c>
    </row>
    <row r="3" spans="2:11" x14ac:dyDescent="0.4">
      <c r="B3">
        <v>10002</v>
      </c>
      <c r="C3" t="str">
        <f t="shared" ref="C3:C26" si="0">"name_equipment_"&amp;B3</f>
        <v>name_equipment_10002</v>
      </c>
      <c r="D3" t="s">
        <v>13</v>
      </c>
      <c r="E3" t="s">
        <v>10</v>
      </c>
      <c r="F3">
        <v>1</v>
      </c>
      <c r="G3">
        <v>4</v>
      </c>
      <c r="H3" t="str">
        <f t="shared" ref="H3:H26" si="1">"equipment_e_"&amp;B3</f>
        <v>equipment_e_10002</v>
      </c>
      <c r="I3" t="str">
        <f t="shared" ref="I3:I26" si="2">"equipment_ee_desc_"&amp;D3</f>
        <v>equipment_ee_desc_Weapon</v>
      </c>
      <c r="J3" t="str">
        <f t="shared" ref="J3:J26" si="3">"equipment_c_"&amp;B3</f>
        <v>equipment_c_10002</v>
      </c>
      <c r="K3" t="str">
        <f t="shared" ref="K3:K26" si="4">"equipment_ce_desc_"&amp;D3</f>
        <v>equipment_ce_desc_Weapon</v>
      </c>
    </row>
    <row r="4" spans="2:11" x14ac:dyDescent="0.4">
      <c r="B4">
        <v>10003</v>
      </c>
      <c r="C4" t="str">
        <f t="shared" si="0"/>
        <v>name_equipment_10003</v>
      </c>
      <c r="D4" t="s">
        <v>13</v>
      </c>
      <c r="E4" t="s">
        <v>10</v>
      </c>
      <c r="F4">
        <v>1</v>
      </c>
      <c r="G4">
        <v>3</v>
      </c>
      <c r="H4" t="str">
        <f t="shared" si="1"/>
        <v>equipment_e_10003</v>
      </c>
      <c r="I4" t="str">
        <f t="shared" si="2"/>
        <v>equipment_ee_desc_Weapon</v>
      </c>
      <c r="J4" t="str">
        <f t="shared" si="3"/>
        <v>equipment_c_10003</v>
      </c>
      <c r="K4" t="str">
        <f t="shared" si="4"/>
        <v>equipment_ce_desc_Weapon</v>
      </c>
    </row>
    <row r="5" spans="2:11" x14ac:dyDescent="0.4">
      <c r="B5">
        <v>10004</v>
      </c>
      <c r="C5" t="str">
        <f t="shared" si="0"/>
        <v>name_equipment_10004</v>
      </c>
      <c r="D5" t="s">
        <v>13</v>
      </c>
      <c r="E5" t="s">
        <v>10</v>
      </c>
      <c r="F5">
        <v>1</v>
      </c>
      <c r="G5">
        <v>2</v>
      </c>
      <c r="H5" t="str">
        <f t="shared" si="1"/>
        <v>equipment_e_10004</v>
      </c>
      <c r="I5" t="str">
        <f t="shared" si="2"/>
        <v>equipment_ee_desc_Weapon</v>
      </c>
      <c r="J5" t="str">
        <f t="shared" si="3"/>
        <v>equipment_c_10004</v>
      </c>
      <c r="K5" t="str">
        <f t="shared" si="4"/>
        <v>equipment_ce_desc_Weapon</v>
      </c>
    </row>
    <row r="6" spans="2:11" x14ac:dyDescent="0.4">
      <c r="B6">
        <v>10005</v>
      </c>
      <c r="C6" t="str">
        <f t="shared" ref="C6:C7" si="5">"name_equipment_"&amp;B6</f>
        <v>name_equipment_10005</v>
      </c>
      <c r="D6" t="s">
        <v>13</v>
      </c>
      <c r="E6" t="s">
        <v>10</v>
      </c>
      <c r="F6">
        <v>1</v>
      </c>
      <c r="G6">
        <v>1</v>
      </c>
      <c r="H6" t="str">
        <f t="shared" ref="H6:H7" si="6">"equipment_e_"&amp;B6</f>
        <v>equipment_e_10005</v>
      </c>
      <c r="I6" t="str">
        <f t="shared" ref="I6:I7" si="7">"equipment_ee_desc_"&amp;D6</f>
        <v>equipment_ee_desc_Weapon</v>
      </c>
      <c r="J6" t="str">
        <f t="shared" ref="J6:J7" si="8">"equipment_c_"&amp;B6</f>
        <v>equipment_c_10005</v>
      </c>
      <c r="K6" t="str">
        <f t="shared" ref="K6:K7" si="9">"equipment_ce_desc_"&amp;D6</f>
        <v>equipment_ce_desc_Weapon</v>
      </c>
    </row>
    <row r="7" spans="2:11" x14ac:dyDescent="0.4">
      <c r="B7">
        <v>10006</v>
      </c>
      <c r="C7" t="str">
        <f t="shared" si="5"/>
        <v>name_equipment_10006</v>
      </c>
      <c r="D7" t="s">
        <v>13</v>
      </c>
      <c r="E7" t="s">
        <v>10</v>
      </c>
      <c r="F7">
        <v>2</v>
      </c>
      <c r="G7">
        <v>5</v>
      </c>
      <c r="H7" t="str">
        <f t="shared" si="6"/>
        <v>equipment_e_10006</v>
      </c>
      <c r="I7" t="str">
        <f t="shared" si="7"/>
        <v>equipment_ee_desc_Weapon</v>
      </c>
      <c r="J7" t="str">
        <f t="shared" si="8"/>
        <v>equipment_c_10006</v>
      </c>
      <c r="K7" t="str">
        <f t="shared" si="9"/>
        <v>equipment_ce_desc_Weapon</v>
      </c>
    </row>
    <row r="8" spans="2:11" x14ac:dyDescent="0.4">
      <c r="B8">
        <v>10007</v>
      </c>
      <c r="C8" t="str">
        <f t="shared" si="0"/>
        <v>name_equipment_10007</v>
      </c>
      <c r="D8" t="s">
        <v>13</v>
      </c>
      <c r="E8" t="s">
        <v>10</v>
      </c>
      <c r="F8">
        <v>2</v>
      </c>
      <c r="G8">
        <v>4</v>
      </c>
      <c r="H8" t="str">
        <f t="shared" si="1"/>
        <v>equipment_e_10007</v>
      </c>
      <c r="I8" t="str">
        <f t="shared" si="2"/>
        <v>equipment_ee_desc_Weapon</v>
      </c>
      <c r="J8" t="str">
        <f t="shared" si="3"/>
        <v>equipment_c_10007</v>
      </c>
      <c r="K8" t="str">
        <f t="shared" si="4"/>
        <v>equipment_ce_desc_Weapon</v>
      </c>
    </row>
    <row r="9" spans="2:11" x14ac:dyDescent="0.4">
      <c r="B9">
        <v>10008</v>
      </c>
      <c r="C9" t="str">
        <f t="shared" si="0"/>
        <v>name_equipment_10008</v>
      </c>
      <c r="D9" t="s">
        <v>13</v>
      </c>
      <c r="E9" t="s">
        <v>10</v>
      </c>
      <c r="F9">
        <v>2</v>
      </c>
      <c r="G9">
        <v>3</v>
      </c>
      <c r="H9" t="str">
        <f t="shared" si="1"/>
        <v>equipment_e_10008</v>
      </c>
      <c r="I9" t="str">
        <f t="shared" si="2"/>
        <v>equipment_ee_desc_Weapon</v>
      </c>
      <c r="J9" t="str">
        <f t="shared" si="3"/>
        <v>equipment_c_10008</v>
      </c>
      <c r="K9" t="str">
        <f t="shared" si="4"/>
        <v>equipment_ce_desc_Weapon</v>
      </c>
    </row>
    <row r="10" spans="2:11" x14ac:dyDescent="0.4">
      <c r="B10">
        <v>10009</v>
      </c>
      <c r="C10" t="str">
        <f t="shared" si="0"/>
        <v>name_equipment_10009</v>
      </c>
      <c r="D10" t="s">
        <v>13</v>
      </c>
      <c r="E10" t="s">
        <v>10</v>
      </c>
      <c r="F10">
        <v>2</v>
      </c>
      <c r="G10">
        <v>2</v>
      </c>
      <c r="H10" t="str">
        <f t="shared" si="1"/>
        <v>equipment_e_10009</v>
      </c>
      <c r="I10" t="str">
        <f t="shared" si="2"/>
        <v>equipment_ee_desc_Weapon</v>
      </c>
      <c r="J10" t="str">
        <f t="shared" si="3"/>
        <v>equipment_c_10009</v>
      </c>
      <c r="K10" t="str">
        <f t="shared" si="4"/>
        <v>equipment_ce_desc_Weapon</v>
      </c>
    </row>
    <row r="11" spans="2:11" x14ac:dyDescent="0.4">
      <c r="B11">
        <v>10010</v>
      </c>
      <c r="C11" t="str">
        <f t="shared" si="0"/>
        <v>name_equipment_10010</v>
      </c>
      <c r="D11" t="s">
        <v>13</v>
      </c>
      <c r="E11" t="s">
        <v>10</v>
      </c>
      <c r="F11">
        <v>2</v>
      </c>
      <c r="G11">
        <v>1</v>
      </c>
      <c r="H11" t="str">
        <f t="shared" si="1"/>
        <v>equipment_e_10010</v>
      </c>
      <c r="I11" t="str">
        <f t="shared" si="2"/>
        <v>equipment_ee_desc_Weapon</v>
      </c>
      <c r="J11" t="str">
        <f t="shared" si="3"/>
        <v>equipment_c_10010</v>
      </c>
      <c r="K11" t="str">
        <f t="shared" si="4"/>
        <v>equipment_ce_desc_Weapon</v>
      </c>
    </row>
    <row r="12" spans="2:11" x14ac:dyDescent="0.4">
      <c r="B12">
        <v>10011</v>
      </c>
      <c r="C12" t="str">
        <f t="shared" ref="C12" si="10">"name_equipment_"&amp;B12</f>
        <v>name_equipment_10011</v>
      </c>
      <c r="D12" t="s">
        <v>13</v>
      </c>
      <c r="E12" t="s">
        <v>10</v>
      </c>
      <c r="F12">
        <v>3</v>
      </c>
      <c r="G12">
        <v>5</v>
      </c>
      <c r="H12" t="str">
        <f t="shared" ref="H12" si="11">"equipment_e_"&amp;B12</f>
        <v>equipment_e_10011</v>
      </c>
      <c r="I12" t="str">
        <f t="shared" ref="I12" si="12">"equipment_ee_desc_"&amp;D12</f>
        <v>equipment_ee_desc_Weapon</v>
      </c>
      <c r="J12" t="str">
        <f t="shared" ref="J12" si="13">"equipment_c_"&amp;B12</f>
        <v>equipment_c_10011</v>
      </c>
      <c r="K12" t="str">
        <f t="shared" ref="K12" si="14">"equipment_ce_desc_"&amp;D12</f>
        <v>equipment_ce_desc_Weapon</v>
      </c>
    </row>
    <row r="13" spans="2:11" x14ac:dyDescent="0.4">
      <c r="B13">
        <v>10012</v>
      </c>
      <c r="C13" t="str">
        <f t="shared" si="0"/>
        <v>name_equipment_10012</v>
      </c>
      <c r="D13" t="s">
        <v>13</v>
      </c>
      <c r="E13" t="s">
        <v>10</v>
      </c>
      <c r="F13">
        <v>3</v>
      </c>
      <c r="G13">
        <v>4</v>
      </c>
      <c r="H13" t="str">
        <f t="shared" si="1"/>
        <v>equipment_e_10012</v>
      </c>
      <c r="I13" t="str">
        <f t="shared" si="2"/>
        <v>equipment_ee_desc_Weapon</v>
      </c>
      <c r="J13" t="str">
        <f t="shared" si="3"/>
        <v>equipment_c_10012</v>
      </c>
      <c r="K13" t="str">
        <f t="shared" si="4"/>
        <v>equipment_ce_desc_Weapon</v>
      </c>
    </row>
    <row r="14" spans="2:11" x14ac:dyDescent="0.4">
      <c r="B14">
        <v>10013</v>
      </c>
      <c r="C14" t="str">
        <f t="shared" si="0"/>
        <v>name_equipment_10013</v>
      </c>
      <c r="D14" t="s">
        <v>13</v>
      </c>
      <c r="E14" t="s">
        <v>10</v>
      </c>
      <c r="F14">
        <v>3</v>
      </c>
      <c r="G14">
        <v>3</v>
      </c>
      <c r="H14" t="str">
        <f t="shared" si="1"/>
        <v>equipment_e_10013</v>
      </c>
      <c r="I14" t="str">
        <f t="shared" si="2"/>
        <v>equipment_ee_desc_Weapon</v>
      </c>
      <c r="J14" t="str">
        <f t="shared" si="3"/>
        <v>equipment_c_10013</v>
      </c>
      <c r="K14" t="str">
        <f t="shared" si="4"/>
        <v>equipment_ce_desc_Weapon</v>
      </c>
    </row>
    <row r="15" spans="2:11" x14ac:dyDescent="0.4">
      <c r="B15">
        <v>10014</v>
      </c>
      <c r="C15" t="str">
        <f t="shared" si="0"/>
        <v>name_equipment_10014</v>
      </c>
      <c r="D15" t="s">
        <v>13</v>
      </c>
      <c r="E15" t="s">
        <v>10</v>
      </c>
      <c r="F15">
        <v>3</v>
      </c>
      <c r="G15">
        <v>2</v>
      </c>
      <c r="H15" t="str">
        <f t="shared" si="1"/>
        <v>equipment_e_10014</v>
      </c>
      <c r="I15" t="str">
        <f t="shared" si="2"/>
        <v>equipment_ee_desc_Weapon</v>
      </c>
      <c r="J15" t="str">
        <f t="shared" si="3"/>
        <v>equipment_c_10014</v>
      </c>
      <c r="K15" t="str">
        <f t="shared" si="4"/>
        <v>equipment_ce_desc_Weapon</v>
      </c>
    </row>
    <row r="16" spans="2:11" x14ac:dyDescent="0.4">
      <c r="B16">
        <v>10015</v>
      </c>
      <c r="C16" t="str">
        <f t="shared" si="0"/>
        <v>name_equipment_10015</v>
      </c>
      <c r="D16" t="s">
        <v>13</v>
      </c>
      <c r="E16" t="s">
        <v>10</v>
      </c>
      <c r="F16">
        <v>3</v>
      </c>
      <c r="G16">
        <v>1</v>
      </c>
      <c r="H16" t="str">
        <f t="shared" si="1"/>
        <v>equipment_e_10015</v>
      </c>
      <c r="I16" t="str">
        <f t="shared" si="2"/>
        <v>equipment_ee_desc_Weapon</v>
      </c>
      <c r="J16" t="str">
        <f t="shared" si="3"/>
        <v>equipment_c_10015</v>
      </c>
      <c r="K16" t="str">
        <f t="shared" si="4"/>
        <v>equipment_ce_desc_Weapon</v>
      </c>
    </row>
    <row r="17" spans="2:11" x14ac:dyDescent="0.4">
      <c r="B17">
        <v>10016</v>
      </c>
      <c r="C17" t="str">
        <f t="shared" ref="C17" si="15">"name_equipment_"&amp;B17</f>
        <v>name_equipment_10016</v>
      </c>
      <c r="D17" t="s">
        <v>13</v>
      </c>
      <c r="E17" t="s">
        <v>10</v>
      </c>
      <c r="F17">
        <v>4</v>
      </c>
      <c r="G17">
        <v>5</v>
      </c>
      <c r="H17" t="str">
        <f t="shared" ref="H17" si="16">"equipment_e_"&amp;B17</f>
        <v>equipment_e_10016</v>
      </c>
      <c r="I17" t="str">
        <f t="shared" ref="I17" si="17">"equipment_ee_desc_"&amp;D17</f>
        <v>equipment_ee_desc_Weapon</v>
      </c>
      <c r="J17" t="str">
        <f t="shared" ref="J17" si="18">"equipment_c_"&amp;B17</f>
        <v>equipment_c_10016</v>
      </c>
      <c r="K17" t="str">
        <f t="shared" ref="K17" si="19">"equipment_ce_desc_"&amp;D17</f>
        <v>equipment_ce_desc_Weapon</v>
      </c>
    </row>
    <row r="18" spans="2:11" x14ac:dyDescent="0.4">
      <c r="B18">
        <v>10017</v>
      </c>
      <c r="C18" t="str">
        <f t="shared" si="0"/>
        <v>name_equipment_10017</v>
      </c>
      <c r="D18" t="s">
        <v>13</v>
      </c>
      <c r="E18" t="s">
        <v>10</v>
      </c>
      <c r="F18">
        <v>4</v>
      </c>
      <c r="G18">
        <v>4</v>
      </c>
      <c r="H18" t="str">
        <f t="shared" si="1"/>
        <v>equipment_e_10017</v>
      </c>
      <c r="I18" t="str">
        <f t="shared" si="2"/>
        <v>equipment_ee_desc_Weapon</v>
      </c>
      <c r="J18" t="str">
        <f t="shared" si="3"/>
        <v>equipment_c_10017</v>
      </c>
      <c r="K18" t="str">
        <f t="shared" si="4"/>
        <v>equipment_ce_desc_Weapon</v>
      </c>
    </row>
    <row r="19" spans="2:11" x14ac:dyDescent="0.4">
      <c r="B19">
        <v>10018</v>
      </c>
      <c r="C19" t="str">
        <f t="shared" si="0"/>
        <v>name_equipment_10018</v>
      </c>
      <c r="D19" t="s">
        <v>13</v>
      </c>
      <c r="E19" t="s">
        <v>10</v>
      </c>
      <c r="F19">
        <v>4</v>
      </c>
      <c r="G19">
        <v>3</v>
      </c>
      <c r="H19" t="str">
        <f t="shared" si="1"/>
        <v>equipment_e_10018</v>
      </c>
      <c r="I19" t="str">
        <f t="shared" si="2"/>
        <v>equipment_ee_desc_Weapon</v>
      </c>
      <c r="J19" t="str">
        <f t="shared" si="3"/>
        <v>equipment_c_10018</v>
      </c>
      <c r="K19" t="str">
        <f t="shared" si="4"/>
        <v>equipment_ce_desc_Weapon</v>
      </c>
    </row>
    <row r="20" spans="2:11" x14ac:dyDescent="0.4">
      <c r="B20">
        <v>10019</v>
      </c>
      <c r="C20" t="str">
        <f t="shared" si="0"/>
        <v>name_equipment_10019</v>
      </c>
      <c r="D20" t="s">
        <v>13</v>
      </c>
      <c r="E20" t="s">
        <v>10</v>
      </c>
      <c r="F20">
        <v>4</v>
      </c>
      <c r="G20">
        <v>2</v>
      </c>
      <c r="H20" t="str">
        <f t="shared" si="1"/>
        <v>equipment_e_10019</v>
      </c>
      <c r="I20" t="str">
        <f t="shared" si="2"/>
        <v>equipment_ee_desc_Weapon</v>
      </c>
      <c r="J20" t="str">
        <f t="shared" si="3"/>
        <v>equipment_c_10019</v>
      </c>
      <c r="K20" t="str">
        <f t="shared" si="4"/>
        <v>equipment_ce_desc_Weapon</v>
      </c>
    </row>
    <row r="21" spans="2:11" x14ac:dyDescent="0.4">
      <c r="B21">
        <v>10020</v>
      </c>
      <c r="C21" t="str">
        <f t="shared" si="0"/>
        <v>name_equipment_10020</v>
      </c>
      <c r="D21" t="s">
        <v>13</v>
      </c>
      <c r="E21" t="s">
        <v>10</v>
      </c>
      <c r="F21">
        <v>4</v>
      </c>
      <c r="G21">
        <v>1</v>
      </c>
      <c r="H21" t="str">
        <f t="shared" si="1"/>
        <v>equipment_e_10020</v>
      </c>
      <c r="I21" t="str">
        <f t="shared" si="2"/>
        <v>equipment_ee_desc_Weapon</v>
      </c>
      <c r="J21" t="str">
        <f t="shared" si="3"/>
        <v>equipment_c_10020</v>
      </c>
      <c r="K21" t="str">
        <f t="shared" si="4"/>
        <v>equipment_ce_desc_Weapon</v>
      </c>
    </row>
    <row r="22" spans="2:11" x14ac:dyDescent="0.4">
      <c r="B22">
        <v>10021</v>
      </c>
      <c r="C22" t="str">
        <f t="shared" ref="C22" si="20">"name_equipment_"&amp;B22</f>
        <v>name_equipment_10021</v>
      </c>
      <c r="D22" t="s">
        <v>13</v>
      </c>
      <c r="E22" t="s">
        <v>10</v>
      </c>
      <c r="F22">
        <v>5</v>
      </c>
      <c r="G22">
        <v>5</v>
      </c>
      <c r="H22" t="str">
        <f t="shared" ref="H22" si="21">"equipment_e_"&amp;B22</f>
        <v>equipment_e_10021</v>
      </c>
      <c r="I22" t="str">
        <f t="shared" ref="I22" si="22">"equipment_ee_desc_"&amp;D22</f>
        <v>equipment_ee_desc_Weapon</v>
      </c>
      <c r="J22" t="str">
        <f t="shared" ref="J22" si="23">"equipment_c_"&amp;B22</f>
        <v>equipment_c_10021</v>
      </c>
      <c r="K22" t="str">
        <f t="shared" ref="K22" si="24">"equipment_ce_desc_"&amp;D22</f>
        <v>equipment_ce_desc_Weapon</v>
      </c>
    </row>
    <row r="23" spans="2:11" x14ac:dyDescent="0.4">
      <c r="B23">
        <v>10022</v>
      </c>
      <c r="C23" t="str">
        <f t="shared" si="0"/>
        <v>name_equipment_10022</v>
      </c>
      <c r="D23" t="s">
        <v>13</v>
      </c>
      <c r="E23" t="s">
        <v>10</v>
      </c>
      <c r="F23">
        <v>5</v>
      </c>
      <c r="G23">
        <v>4</v>
      </c>
      <c r="H23" t="str">
        <f t="shared" si="1"/>
        <v>equipment_e_10022</v>
      </c>
      <c r="I23" t="str">
        <f t="shared" si="2"/>
        <v>equipment_ee_desc_Weapon</v>
      </c>
      <c r="J23" t="str">
        <f t="shared" si="3"/>
        <v>equipment_c_10022</v>
      </c>
      <c r="K23" t="str">
        <f t="shared" si="4"/>
        <v>equipment_ce_desc_Weapon</v>
      </c>
    </row>
    <row r="24" spans="2:11" x14ac:dyDescent="0.4">
      <c r="B24">
        <v>10023</v>
      </c>
      <c r="C24" t="str">
        <f t="shared" si="0"/>
        <v>name_equipment_10023</v>
      </c>
      <c r="D24" t="s">
        <v>13</v>
      </c>
      <c r="E24" t="s">
        <v>10</v>
      </c>
      <c r="F24">
        <v>5</v>
      </c>
      <c r="G24">
        <v>3</v>
      </c>
      <c r="H24" t="str">
        <f t="shared" si="1"/>
        <v>equipment_e_10023</v>
      </c>
      <c r="I24" t="str">
        <f t="shared" si="2"/>
        <v>equipment_ee_desc_Weapon</v>
      </c>
      <c r="J24" t="str">
        <f t="shared" si="3"/>
        <v>equipment_c_10023</v>
      </c>
      <c r="K24" t="str">
        <f t="shared" si="4"/>
        <v>equipment_ce_desc_Weapon</v>
      </c>
    </row>
    <row r="25" spans="2:11" x14ac:dyDescent="0.4">
      <c r="B25">
        <v>10024</v>
      </c>
      <c r="C25" t="str">
        <f t="shared" si="0"/>
        <v>name_equipment_10024</v>
      </c>
      <c r="D25" t="s">
        <v>13</v>
      </c>
      <c r="E25" t="s">
        <v>10</v>
      </c>
      <c r="F25">
        <v>5</v>
      </c>
      <c r="G25">
        <v>2</v>
      </c>
      <c r="H25" t="str">
        <f t="shared" si="1"/>
        <v>equipment_e_10024</v>
      </c>
      <c r="I25" t="str">
        <f t="shared" si="2"/>
        <v>equipment_ee_desc_Weapon</v>
      </c>
      <c r="J25" t="str">
        <f t="shared" si="3"/>
        <v>equipment_c_10024</v>
      </c>
      <c r="K25" t="str">
        <f t="shared" si="4"/>
        <v>equipment_ce_desc_Weapon</v>
      </c>
    </row>
    <row r="26" spans="2:11" x14ac:dyDescent="0.4">
      <c r="B26">
        <v>10025</v>
      </c>
      <c r="C26" t="str">
        <f t="shared" si="0"/>
        <v>name_equipment_10025</v>
      </c>
      <c r="D26" t="s">
        <v>13</v>
      </c>
      <c r="E26" t="s">
        <v>10</v>
      </c>
      <c r="F26">
        <v>5</v>
      </c>
      <c r="G26">
        <v>1</v>
      </c>
      <c r="H26" t="str">
        <f t="shared" si="1"/>
        <v>equipment_e_10025</v>
      </c>
      <c r="I26" t="str">
        <f t="shared" si="2"/>
        <v>equipment_ee_desc_Weapon</v>
      </c>
      <c r="J26" t="str">
        <f t="shared" si="3"/>
        <v>equipment_c_10025</v>
      </c>
      <c r="K26" t="str">
        <f t="shared" si="4"/>
        <v>equipment_ce_desc_Weapon</v>
      </c>
    </row>
    <row r="27" spans="2:11" x14ac:dyDescent="0.4">
      <c r="B27">
        <v>20001</v>
      </c>
      <c r="C27" t="str">
        <f>"name_equipment_"&amp;B27</f>
        <v>name_equipment_20001</v>
      </c>
      <c r="D27" t="s">
        <v>8</v>
      </c>
      <c r="E27" t="s">
        <v>9</v>
      </c>
      <c r="F27">
        <v>1</v>
      </c>
      <c r="G27">
        <v>5</v>
      </c>
      <c r="H27" t="str">
        <f t="shared" ref="H27" si="25">"equipment_e_"&amp;B27</f>
        <v>equipment_e_20001</v>
      </c>
      <c r="I27" t="str">
        <f t="shared" ref="I27" si="26">"equipment_ee_desc_"&amp;D27</f>
        <v>equipment_ee_desc_Acc</v>
      </c>
      <c r="J27" t="str">
        <f t="shared" ref="J27" si="27">"equipment_c_"&amp;B27</f>
        <v>equipment_c_20001</v>
      </c>
      <c r="K27" t="str">
        <f t="shared" ref="K27" si="28">"equipment_ce_desc_"&amp;D27</f>
        <v>equipment_ce_desc_Acc</v>
      </c>
    </row>
    <row r="28" spans="2:11" x14ac:dyDescent="0.4">
      <c r="B28">
        <v>20002</v>
      </c>
      <c r="C28" t="str">
        <f>"name_equipment_"&amp;B28</f>
        <v>name_equipment_20002</v>
      </c>
      <c r="D28" t="s">
        <v>8</v>
      </c>
      <c r="E28" t="s">
        <v>9</v>
      </c>
      <c r="F28">
        <v>1</v>
      </c>
      <c r="G28">
        <v>4</v>
      </c>
      <c r="H28" t="str">
        <f t="shared" ref="H28:H51" si="29">"equipment_e_"&amp;B28</f>
        <v>equipment_e_20002</v>
      </c>
      <c r="I28" t="str">
        <f t="shared" ref="I28:I51" si="30">"equipment_ee_desc_"&amp;D28</f>
        <v>equipment_ee_desc_Acc</v>
      </c>
      <c r="J28" t="str">
        <f t="shared" ref="J28:J51" si="31">"equipment_c_"&amp;B28</f>
        <v>equipment_c_20002</v>
      </c>
      <c r="K28" t="str">
        <f t="shared" ref="K28:K51" si="32">"equipment_ce_desc_"&amp;D28</f>
        <v>equipment_ce_desc_Acc</v>
      </c>
    </row>
    <row r="29" spans="2:11" x14ac:dyDescent="0.4">
      <c r="B29">
        <v>20003</v>
      </c>
      <c r="C29" t="str">
        <f t="shared" ref="C29:C51" si="33">"name_equipment_"&amp;B29</f>
        <v>name_equipment_20003</v>
      </c>
      <c r="D29" t="s">
        <v>8</v>
      </c>
      <c r="E29" t="s">
        <v>9</v>
      </c>
      <c r="F29">
        <v>1</v>
      </c>
      <c r="G29">
        <v>3</v>
      </c>
      <c r="H29" t="str">
        <f t="shared" si="29"/>
        <v>equipment_e_20003</v>
      </c>
      <c r="I29" t="str">
        <f t="shared" si="30"/>
        <v>equipment_ee_desc_Acc</v>
      </c>
      <c r="J29" t="str">
        <f t="shared" si="31"/>
        <v>equipment_c_20003</v>
      </c>
      <c r="K29" t="str">
        <f t="shared" si="32"/>
        <v>equipment_ce_desc_Acc</v>
      </c>
    </row>
    <row r="30" spans="2:11" x14ac:dyDescent="0.4">
      <c r="B30">
        <v>20004</v>
      </c>
      <c r="C30" t="str">
        <f t="shared" si="33"/>
        <v>name_equipment_20004</v>
      </c>
      <c r="D30" t="s">
        <v>8</v>
      </c>
      <c r="E30" t="s">
        <v>9</v>
      </c>
      <c r="F30">
        <v>1</v>
      </c>
      <c r="G30">
        <v>2</v>
      </c>
      <c r="H30" t="str">
        <f t="shared" si="29"/>
        <v>equipment_e_20004</v>
      </c>
      <c r="I30" t="str">
        <f t="shared" si="30"/>
        <v>equipment_ee_desc_Acc</v>
      </c>
      <c r="J30" t="str">
        <f t="shared" si="31"/>
        <v>equipment_c_20004</v>
      </c>
      <c r="K30" t="str">
        <f t="shared" si="32"/>
        <v>equipment_ce_desc_Acc</v>
      </c>
    </row>
    <row r="31" spans="2:11" x14ac:dyDescent="0.4">
      <c r="B31">
        <v>20005</v>
      </c>
      <c r="C31" t="str">
        <f t="shared" si="33"/>
        <v>name_equipment_20005</v>
      </c>
      <c r="D31" t="s">
        <v>8</v>
      </c>
      <c r="E31" t="s">
        <v>9</v>
      </c>
      <c r="F31">
        <v>1</v>
      </c>
      <c r="G31">
        <v>1</v>
      </c>
      <c r="H31" t="str">
        <f t="shared" si="29"/>
        <v>equipment_e_20005</v>
      </c>
      <c r="I31" t="str">
        <f t="shared" si="30"/>
        <v>equipment_ee_desc_Acc</v>
      </c>
      <c r="J31" t="str">
        <f t="shared" si="31"/>
        <v>equipment_c_20005</v>
      </c>
      <c r="K31" t="str">
        <f t="shared" si="32"/>
        <v>equipment_ce_desc_Acc</v>
      </c>
    </row>
    <row r="32" spans="2:11" x14ac:dyDescent="0.4">
      <c r="B32">
        <v>20006</v>
      </c>
      <c r="C32" t="str">
        <f t="shared" ref="C32" si="34">"name_equipment_"&amp;B32</f>
        <v>name_equipment_20006</v>
      </c>
      <c r="D32" t="s">
        <v>8</v>
      </c>
      <c r="E32" t="s">
        <v>9</v>
      </c>
      <c r="F32">
        <v>2</v>
      </c>
      <c r="G32">
        <v>5</v>
      </c>
      <c r="H32" t="str">
        <f t="shared" ref="H32" si="35">"equipment_e_"&amp;B32</f>
        <v>equipment_e_20006</v>
      </c>
      <c r="I32" t="str">
        <f t="shared" ref="I32" si="36">"equipment_ee_desc_"&amp;D32</f>
        <v>equipment_ee_desc_Acc</v>
      </c>
      <c r="J32" t="str">
        <f t="shared" ref="J32" si="37">"equipment_c_"&amp;B32</f>
        <v>equipment_c_20006</v>
      </c>
      <c r="K32" t="str">
        <f t="shared" ref="K32" si="38">"equipment_ce_desc_"&amp;D32</f>
        <v>equipment_ce_desc_Acc</v>
      </c>
    </row>
    <row r="33" spans="2:11" x14ac:dyDescent="0.4">
      <c r="B33">
        <v>20007</v>
      </c>
      <c r="C33" t="str">
        <f t="shared" si="33"/>
        <v>name_equipment_20007</v>
      </c>
      <c r="D33" t="s">
        <v>8</v>
      </c>
      <c r="E33" t="s">
        <v>9</v>
      </c>
      <c r="F33">
        <v>2</v>
      </c>
      <c r="G33">
        <v>4</v>
      </c>
      <c r="H33" t="str">
        <f t="shared" si="29"/>
        <v>equipment_e_20007</v>
      </c>
      <c r="I33" t="str">
        <f t="shared" si="30"/>
        <v>equipment_ee_desc_Acc</v>
      </c>
      <c r="J33" t="str">
        <f t="shared" si="31"/>
        <v>equipment_c_20007</v>
      </c>
      <c r="K33" t="str">
        <f t="shared" si="32"/>
        <v>equipment_ce_desc_Acc</v>
      </c>
    </row>
    <row r="34" spans="2:11" x14ac:dyDescent="0.4">
      <c r="B34">
        <v>20008</v>
      </c>
      <c r="C34" t="str">
        <f t="shared" si="33"/>
        <v>name_equipment_20008</v>
      </c>
      <c r="D34" t="s">
        <v>8</v>
      </c>
      <c r="E34" t="s">
        <v>9</v>
      </c>
      <c r="F34">
        <v>2</v>
      </c>
      <c r="G34">
        <v>3</v>
      </c>
      <c r="H34" t="str">
        <f t="shared" si="29"/>
        <v>equipment_e_20008</v>
      </c>
      <c r="I34" t="str">
        <f t="shared" si="30"/>
        <v>equipment_ee_desc_Acc</v>
      </c>
      <c r="J34" t="str">
        <f t="shared" si="31"/>
        <v>equipment_c_20008</v>
      </c>
      <c r="K34" t="str">
        <f t="shared" si="32"/>
        <v>equipment_ce_desc_Acc</v>
      </c>
    </row>
    <row r="35" spans="2:11" x14ac:dyDescent="0.4">
      <c r="B35">
        <v>20009</v>
      </c>
      <c r="C35" t="str">
        <f t="shared" si="33"/>
        <v>name_equipment_20009</v>
      </c>
      <c r="D35" t="s">
        <v>8</v>
      </c>
      <c r="E35" t="s">
        <v>9</v>
      </c>
      <c r="F35">
        <v>2</v>
      </c>
      <c r="G35">
        <v>2</v>
      </c>
      <c r="H35" t="str">
        <f t="shared" si="29"/>
        <v>equipment_e_20009</v>
      </c>
      <c r="I35" t="str">
        <f t="shared" si="30"/>
        <v>equipment_ee_desc_Acc</v>
      </c>
      <c r="J35" t="str">
        <f t="shared" si="31"/>
        <v>equipment_c_20009</v>
      </c>
      <c r="K35" t="str">
        <f t="shared" si="32"/>
        <v>equipment_ce_desc_Acc</v>
      </c>
    </row>
    <row r="36" spans="2:11" x14ac:dyDescent="0.4">
      <c r="B36">
        <v>20010</v>
      </c>
      <c r="C36" t="str">
        <f t="shared" si="33"/>
        <v>name_equipment_20010</v>
      </c>
      <c r="D36" t="s">
        <v>8</v>
      </c>
      <c r="E36" t="s">
        <v>9</v>
      </c>
      <c r="F36">
        <v>2</v>
      </c>
      <c r="G36">
        <v>1</v>
      </c>
      <c r="H36" t="str">
        <f t="shared" si="29"/>
        <v>equipment_e_20010</v>
      </c>
      <c r="I36" t="str">
        <f t="shared" si="30"/>
        <v>equipment_ee_desc_Acc</v>
      </c>
      <c r="J36" t="str">
        <f t="shared" si="31"/>
        <v>equipment_c_20010</v>
      </c>
      <c r="K36" t="str">
        <f t="shared" si="32"/>
        <v>equipment_ce_desc_Acc</v>
      </c>
    </row>
    <row r="37" spans="2:11" x14ac:dyDescent="0.4">
      <c r="B37">
        <v>20011</v>
      </c>
      <c r="C37" t="str">
        <f t="shared" ref="C37" si="39">"name_equipment_"&amp;B37</f>
        <v>name_equipment_20011</v>
      </c>
      <c r="D37" t="s">
        <v>8</v>
      </c>
      <c r="E37" t="s">
        <v>9</v>
      </c>
      <c r="F37">
        <v>3</v>
      </c>
      <c r="G37">
        <v>5</v>
      </c>
      <c r="H37" t="str">
        <f t="shared" ref="H37" si="40">"equipment_e_"&amp;B37</f>
        <v>equipment_e_20011</v>
      </c>
      <c r="I37" t="str">
        <f t="shared" ref="I37" si="41">"equipment_ee_desc_"&amp;D37</f>
        <v>equipment_ee_desc_Acc</v>
      </c>
      <c r="J37" t="str">
        <f t="shared" ref="J37" si="42">"equipment_c_"&amp;B37</f>
        <v>equipment_c_20011</v>
      </c>
      <c r="K37" t="str">
        <f t="shared" ref="K37" si="43">"equipment_ce_desc_"&amp;D37</f>
        <v>equipment_ce_desc_Acc</v>
      </c>
    </row>
    <row r="38" spans="2:11" x14ac:dyDescent="0.4">
      <c r="B38">
        <v>20012</v>
      </c>
      <c r="C38" t="str">
        <f t="shared" si="33"/>
        <v>name_equipment_20012</v>
      </c>
      <c r="D38" t="s">
        <v>8</v>
      </c>
      <c r="E38" t="s">
        <v>9</v>
      </c>
      <c r="F38">
        <v>3</v>
      </c>
      <c r="G38">
        <v>4</v>
      </c>
      <c r="H38" t="str">
        <f t="shared" si="29"/>
        <v>equipment_e_20012</v>
      </c>
      <c r="I38" t="str">
        <f t="shared" si="30"/>
        <v>equipment_ee_desc_Acc</v>
      </c>
      <c r="J38" t="str">
        <f t="shared" si="31"/>
        <v>equipment_c_20012</v>
      </c>
      <c r="K38" t="str">
        <f t="shared" si="32"/>
        <v>equipment_ce_desc_Acc</v>
      </c>
    </row>
    <row r="39" spans="2:11" x14ac:dyDescent="0.4">
      <c r="B39">
        <v>20013</v>
      </c>
      <c r="C39" t="str">
        <f t="shared" si="33"/>
        <v>name_equipment_20013</v>
      </c>
      <c r="D39" t="s">
        <v>8</v>
      </c>
      <c r="E39" t="s">
        <v>9</v>
      </c>
      <c r="F39">
        <v>3</v>
      </c>
      <c r="G39">
        <v>3</v>
      </c>
      <c r="H39" t="str">
        <f t="shared" si="29"/>
        <v>equipment_e_20013</v>
      </c>
      <c r="I39" t="str">
        <f t="shared" si="30"/>
        <v>equipment_ee_desc_Acc</v>
      </c>
      <c r="J39" t="str">
        <f t="shared" si="31"/>
        <v>equipment_c_20013</v>
      </c>
      <c r="K39" t="str">
        <f t="shared" si="32"/>
        <v>equipment_ce_desc_Acc</v>
      </c>
    </row>
    <row r="40" spans="2:11" x14ac:dyDescent="0.4">
      <c r="B40">
        <v>20014</v>
      </c>
      <c r="C40" t="str">
        <f t="shared" si="33"/>
        <v>name_equipment_20014</v>
      </c>
      <c r="D40" t="s">
        <v>8</v>
      </c>
      <c r="E40" t="s">
        <v>9</v>
      </c>
      <c r="F40">
        <v>3</v>
      </c>
      <c r="G40">
        <v>2</v>
      </c>
      <c r="H40" t="str">
        <f t="shared" si="29"/>
        <v>equipment_e_20014</v>
      </c>
      <c r="I40" t="str">
        <f t="shared" si="30"/>
        <v>equipment_ee_desc_Acc</v>
      </c>
      <c r="J40" t="str">
        <f t="shared" si="31"/>
        <v>equipment_c_20014</v>
      </c>
      <c r="K40" t="str">
        <f t="shared" si="32"/>
        <v>equipment_ce_desc_Acc</v>
      </c>
    </row>
    <row r="41" spans="2:11" x14ac:dyDescent="0.4">
      <c r="B41">
        <v>20015</v>
      </c>
      <c r="C41" t="str">
        <f t="shared" si="33"/>
        <v>name_equipment_20015</v>
      </c>
      <c r="D41" t="s">
        <v>8</v>
      </c>
      <c r="E41" t="s">
        <v>9</v>
      </c>
      <c r="F41">
        <v>3</v>
      </c>
      <c r="G41">
        <v>1</v>
      </c>
      <c r="H41" t="str">
        <f t="shared" si="29"/>
        <v>equipment_e_20015</v>
      </c>
      <c r="I41" t="str">
        <f t="shared" si="30"/>
        <v>equipment_ee_desc_Acc</v>
      </c>
      <c r="J41" t="str">
        <f t="shared" si="31"/>
        <v>equipment_c_20015</v>
      </c>
      <c r="K41" t="str">
        <f t="shared" si="32"/>
        <v>equipment_ce_desc_Acc</v>
      </c>
    </row>
    <row r="42" spans="2:11" x14ac:dyDescent="0.4">
      <c r="B42">
        <v>20016</v>
      </c>
      <c r="C42" t="str">
        <f t="shared" ref="C42" si="44">"name_equipment_"&amp;B42</f>
        <v>name_equipment_20016</v>
      </c>
      <c r="D42" t="s">
        <v>8</v>
      </c>
      <c r="E42" t="s">
        <v>9</v>
      </c>
      <c r="F42">
        <v>4</v>
      </c>
      <c r="G42">
        <v>5</v>
      </c>
      <c r="H42" t="str">
        <f t="shared" ref="H42" si="45">"equipment_e_"&amp;B42</f>
        <v>equipment_e_20016</v>
      </c>
      <c r="I42" t="str">
        <f t="shared" ref="I42" si="46">"equipment_ee_desc_"&amp;D42</f>
        <v>equipment_ee_desc_Acc</v>
      </c>
      <c r="J42" t="str">
        <f t="shared" ref="J42" si="47">"equipment_c_"&amp;B42</f>
        <v>equipment_c_20016</v>
      </c>
      <c r="K42" t="str">
        <f t="shared" ref="K42" si="48">"equipment_ce_desc_"&amp;D42</f>
        <v>equipment_ce_desc_Acc</v>
      </c>
    </row>
    <row r="43" spans="2:11" x14ac:dyDescent="0.4">
      <c r="B43">
        <v>20017</v>
      </c>
      <c r="C43" t="str">
        <f t="shared" si="33"/>
        <v>name_equipment_20017</v>
      </c>
      <c r="D43" t="s">
        <v>8</v>
      </c>
      <c r="E43" t="s">
        <v>9</v>
      </c>
      <c r="F43">
        <v>4</v>
      </c>
      <c r="G43">
        <v>4</v>
      </c>
      <c r="H43" t="str">
        <f t="shared" si="29"/>
        <v>equipment_e_20017</v>
      </c>
      <c r="I43" t="str">
        <f t="shared" si="30"/>
        <v>equipment_ee_desc_Acc</v>
      </c>
      <c r="J43" t="str">
        <f t="shared" si="31"/>
        <v>equipment_c_20017</v>
      </c>
      <c r="K43" t="str">
        <f t="shared" si="32"/>
        <v>equipment_ce_desc_Acc</v>
      </c>
    </row>
    <row r="44" spans="2:11" x14ac:dyDescent="0.4">
      <c r="B44">
        <v>20018</v>
      </c>
      <c r="C44" t="str">
        <f t="shared" si="33"/>
        <v>name_equipment_20018</v>
      </c>
      <c r="D44" t="s">
        <v>8</v>
      </c>
      <c r="E44" t="s">
        <v>9</v>
      </c>
      <c r="F44">
        <v>4</v>
      </c>
      <c r="G44">
        <v>3</v>
      </c>
      <c r="H44" t="str">
        <f t="shared" si="29"/>
        <v>equipment_e_20018</v>
      </c>
      <c r="I44" t="str">
        <f t="shared" si="30"/>
        <v>equipment_ee_desc_Acc</v>
      </c>
      <c r="J44" t="str">
        <f t="shared" si="31"/>
        <v>equipment_c_20018</v>
      </c>
      <c r="K44" t="str">
        <f t="shared" si="32"/>
        <v>equipment_ce_desc_Acc</v>
      </c>
    </row>
    <row r="45" spans="2:11" x14ac:dyDescent="0.4">
      <c r="B45">
        <v>20019</v>
      </c>
      <c r="C45" t="str">
        <f t="shared" si="33"/>
        <v>name_equipment_20019</v>
      </c>
      <c r="D45" t="s">
        <v>8</v>
      </c>
      <c r="E45" t="s">
        <v>9</v>
      </c>
      <c r="F45">
        <v>4</v>
      </c>
      <c r="G45">
        <v>2</v>
      </c>
      <c r="H45" t="str">
        <f t="shared" si="29"/>
        <v>equipment_e_20019</v>
      </c>
      <c r="I45" t="str">
        <f t="shared" si="30"/>
        <v>equipment_ee_desc_Acc</v>
      </c>
      <c r="J45" t="str">
        <f t="shared" si="31"/>
        <v>equipment_c_20019</v>
      </c>
      <c r="K45" t="str">
        <f t="shared" si="32"/>
        <v>equipment_ce_desc_Acc</v>
      </c>
    </row>
    <row r="46" spans="2:11" x14ac:dyDescent="0.4">
      <c r="B46">
        <v>20020</v>
      </c>
      <c r="C46" t="str">
        <f t="shared" si="33"/>
        <v>name_equipment_20020</v>
      </c>
      <c r="D46" t="s">
        <v>8</v>
      </c>
      <c r="E46" t="s">
        <v>9</v>
      </c>
      <c r="F46">
        <v>4</v>
      </c>
      <c r="G46">
        <v>1</v>
      </c>
      <c r="H46" t="str">
        <f t="shared" si="29"/>
        <v>equipment_e_20020</v>
      </c>
      <c r="I46" t="str">
        <f t="shared" si="30"/>
        <v>equipment_ee_desc_Acc</v>
      </c>
      <c r="J46" t="str">
        <f t="shared" si="31"/>
        <v>equipment_c_20020</v>
      </c>
      <c r="K46" t="str">
        <f t="shared" si="32"/>
        <v>equipment_ce_desc_Acc</v>
      </c>
    </row>
    <row r="47" spans="2:11" x14ac:dyDescent="0.4">
      <c r="B47">
        <v>20021</v>
      </c>
      <c r="C47" t="str">
        <f t="shared" ref="C47" si="49">"name_equipment_"&amp;B47</f>
        <v>name_equipment_20021</v>
      </c>
      <c r="D47" t="s">
        <v>8</v>
      </c>
      <c r="E47" t="s">
        <v>9</v>
      </c>
      <c r="F47">
        <v>5</v>
      </c>
      <c r="G47">
        <v>5</v>
      </c>
      <c r="H47" t="str">
        <f t="shared" ref="H47" si="50">"equipment_e_"&amp;B47</f>
        <v>equipment_e_20021</v>
      </c>
      <c r="I47" t="str">
        <f t="shared" ref="I47" si="51">"equipment_ee_desc_"&amp;D47</f>
        <v>equipment_ee_desc_Acc</v>
      </c>
      <c r="J47" t="str">
        <f t="shared" ref="J47" si="52">"equipment_c_"&amp;B47</f>
        <v>equipment_c_20021</v>
      </c>
      <c r="K47" t="str">
        <f t="shared" ref="K47" si="53">"equipment_ce_desc_"&amp;D47</f>
        <v>equipment_ce_desc_Acc</v>
      </c>
    </row>
    <row r="48" spans="2:11" x14ac:dyDescent="0.4">
      <c r="B48">
        <v>20022</v>
      </c>
      <c r="C48" t="str">
        <f t="shared" si="33"/>
        <v>name_equipment_20022</v>
      </c>
      <c r="D48" t="s">
        <v>8</v>
      </c>
      <c r="E48" t="s">
        <v>9</v>
      </c>
      <c r="F48">
        <v>5</v>
      </c>
      <c r="G48">
        <v>4</v>
      </c>
      <c r="H48" t="str">
        <f t="shared" si="29"/>
        <v>equipment_e_20022</v>
      </c>
      <c r="I48" t="str">
        <f t="shared" si="30"/>
        <v>equipment_ee_desc_Acc</v>
      </c>
      <c r="J48" t="str">
        <f t="shared" si="31"/>
        <v>equipment_c_20022</v>
      </c>
      <c r="K48" t="str">
        <f t="shared" si="32"/>
        <v>equipment_ce_desc_Acc</v>
      </c>
    </row>
    <row r="49" spans="2:11" x14ac:dyDescent="0.4">
      <c r="B49">
        <v>20023</v>
      </c>
      <c r="C49" t="str">
        <f t="shared" si="33"/>
        <v>name_equipment_20023</v>
      </c>
      <c r="D49" t="s">
        <v>8</v>
      </c>
      <c r="E49" t="s">
        <v>9</v>
      </c>
      <c r="F49">
        <v>5</v>
      </c>
      <c r="G49">
        <v>3</v>
      </c>
      <c r="H49" t="str">
        <f t="shared" si="29"/>
        <v>equipment_e_20023</v>
      </c>
      <c r="I49" t="str">
        <f t="shared" si="30"/>
        <v>equipment_ee_desc_Acc</v>
      </c>
      <c r="J49" t="str">
        <f t="shared" si="31"/>
        <v>equipment_c_20023</v>
      </c>
      <c r="K49" t="str">
        <f t="shared" si="32"/>
        <v>equipment_ce_desc_Acc</v>
      </c>
    </row>
    <row r="50" spans="2:11" x14ac:dyDescent="0.4">
      <c r="B50">
        <v>20024</v>
      </c>
      <c r="C50" t="str">
        <f t="shared" si="33"/>
        <v>name_equipment_20024</v>
      </c>
      <c r="D50" t="s">
        <v>8</v>
      </c>
      <c r="E50" t="s">
        <v>9</v>
      </c>
      <c r="F50">
        <v>5</v>
      </c>
      <c r="G50">
        <v>2</v>
      </c>
      <c r="H50" t="str">
        <f t="shared" si="29"/>
        <v>equipment_e_20024</v>
      </c>
      <c r="I50" t="str">
        <f t="shared" si="30"/>
        <v>equipment_ee_desc_Acc</v>
      </c>
      <c r="J50" t="str">
        <f t="shared" si="31"/>
        <v>equipment_c_20024</v>
      </c>
      <c r="K50" t="str">
        <f t="shared" si="32"/>
        <v>equipment_ce_desc_Acc</v>
      </c>
    </row>
    <row r="51" spans="2:11" x14ac:dyDescent="0.4">
      <c r="B51">
        <v>20025</v>
      </c>
      <c r="C51" t="str">
        <f t="shared" si="33"/>
        <v>name_equipment_20025</v>
      </c>
      <c r="D51" t="s">
        <v>8</v>
      </c>
      <c r="E51" t="s">
        <v>9</v>
      </c>
      <c r="F51">
        <v>5</v>
      </c>
      <c r="G51">
        <v>1</v>
      </c>
      <c r="H51" t="str">
        <f t="shared" si="29"/>
        <v>equipment_e_20025</v>
      </c>
      <c r="I51" t="str">
        <f t="shared" si="30"/>
        <v>equipment_ee_desc_Acc</v>
      </c>
      <c r="J51" t="str">
        <f t="shared" si="31"/>
        <v>equipment_c_20025</v>
      </c>
      <c r="K51" t="str">
        <f t="shared" si="32"/>
        <v>equipment_ce_desc_Acc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2022-07-30T04:58:52Z</dcterms:modified>
</cp:coreProperties>
</file>