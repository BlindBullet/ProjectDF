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nity_work\ProjectDF\Assets\DataTables~\"/>
    </mc:Choice>
  </mc:AlternateContent>
  <xr:revisionPtr revIDLastSave="0" documentId="13_ncr:1_{D44BF823-584E-4211-9AD6-EDC5C885E07E}" xr6:coauthVersionLast="47" xr6:coauthVersionMax="47" xr10:uidLastSave="{00000000-0000-0000-0000-000000000000}"/>
  <bookViews>
    <workbookView xWindow="-28920" yWindow="1695" windowWidth="29040" windowHeight="15840" xr2:uid="{00000000-000D-0000-FFFF-FFFF00000000}"/>
  </bookViews>
  <sheets>
    <sheet name="Export" sheetId="2" r:id="rId1"/>
    <sheet name="sim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3" l="1"/>
  <c r="I4" i="3" s="1"/>
  <c r="I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3" i="3"/>
  <c r="F4" i="3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L3" i="3"/>
  <c r="D3" i="3" s="1"/>
  <c r="E4" i="3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M7" i="3"/>
  <c r="H5" i="3" l="1"/>
  <c r="I5" i="3" s="1"/>
  <c r="D4" i="3"/>
  <c r="D10" i="3"/>
  <c r="D11" i="3"/>
  <c r="D16" i="3"/>
  <c r="D5" i="3"/>
  <c r="D17" i="3"/>
  <c r="D22" i="3"/>
  <c r="D12" i="3"/>
  <c r="D7" i="3"/>
  <c r="D19" i="3"/>
  <c r="D6" i="3"/>
  <c r="D18" i="3"/>
  <c r="D13" i="3"/>
  <c r="M5" i="3"/>
  <c r="D14" i="3"/>
  <c r="D20" i="3"/>
  <c r="M6" i="3"/>
  <c r="D9" i="3"/>
  <c r="D15" i="3"/>
  <c r="D21" i="3"/>
  <c r="D8" i="3"/>
  <c r="H6" i="3" l="1"/>
  <c r="I6" i="3"/>
  <c r="H7" i="3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  <c r="H8" i="3" l="1"/>
  <c r="I7" i="3"/>
  <c r="H9" i="3" l="1"/>
  <c r="I8" i="3"/>
  <c r="H10" i="3" l="1"/>
  <c r="I9" i="3"/>
  <c r="H11" i="3" l="1"/>
  <c r="I10" i="3"/>
  <c r="I11" i="3" l="1"/>
  <c r="H12" i="3"/>
  <c r="H13" i="3" l="1"/>
  <c r="I12" i="3"/>
  <c r="I13" i="3" l="1"/>
  <c r="H14" i="3"/>
  <c r="H15" i="3" l="1"/>
  <c r="I14" i="3"/>
  <c r="I15" i="3" l="1"/>
  <c r="H16" i="3"/>
  <c r="I16" i="3" l="1"/>
  <c r="H17" i="3"/>
  <c r="I17" i="3" l="1"/>
  <c r="H18" i="3"/>
  <c r="I18" i="3" l="1"/>
  <c r="H19" i="3"/>
  <c r="H20" i="3" l="1"/>
  <c r="I19" i="3"/>
  <c r="H21" i="3" l="1"/>
  <c r="I20" i="3"/>
  <c r="H22" i="3" l="1"/>
  <c r="I22" i="3" s="1"/>
  <c r="I21" i="3"/>
</calcChain>
</file>

<file path=xl/sharedStrings.xml><?xml version="1.0" encoding="utf-8"?>
<sst xmlns="http://schemas.openxmlformats.org/spreadsheetml/2006/main" count="66" uniqueCount="47">
  <si>
    <t>Id</t>
    <phoneticPr fontId="1" type="noConversion"/>
  </si>
  <si>
    <t>AppearEnemy</t>
    <phoneticPr fontId="1" type="noConversion"/>
  </si>
  <si>
    <t>Enemy1</t>
    <phoneticPr fontId="1" type="noConversion"/>
  </si>
  <si>
    <t>RewardSoulStone</t>
    <phoneticPr fontId="1" type="noConversion"/>
  </si>
  <si>
    <t>Name</t>
    <phoneticPr fontId="1" type="noConversion"/>
  </si>
  <si>
    <t>Attr</t>
    <phoneticPr fontId="1" type="noConversion"/>
  </si>
  <si>
    <t>Red</t>
    <phoneticPr fontId="1" type="noConversion"/>
  </si>
  <si>
    <t>Blue</t>
    <phoneticPr fontId="1" type="noConversion"/>
  </si>
  <si>
    <t>Green</t>
    <phoneticPr fontId="1" type="noConversion"/>
  </si>
  <si>
    <t>Hp</t>
    <phoneticPr fontId="1" type="noConversion"/>
  </si>
  <si>
    <t>Enemy2</t>
  </si>
  <si>
    <t>Enemy3</t>
  </si>
  <si>
    <t>Enemy4</t>
  </si>
  <si>
    <t>Enemy5</t>
  </si>
  <si>
    <t>Enemy6</t>
  </si>
  <si>
    <t>Enemy7</t>
  </si>
  <si>
    <t>Enemy8</t>
  </si>
  <si>
    <t>Enemy9</t>
  </si>
  <si>
    <t>Enemy10</t>
  </si>
  <si>
    <t>Enemy11</t>
  </si>
  <si>
    <t>Enemy12</t>
  </si>
  <si>
    <t>Enemy13</t>
  </si>
  <si>
    <t>Enemy14</t>
  </si>
  <si>
    <t>Enemy15</t>
  </si>
  <si>
    <t>Enemy16</t>
  </si>
  <si>
    <t>Enemy17</t>
  </si>
  <si>
    <t>Enemy18</t>
  </si>
  <si>
    <t>Enemy19</t>
  </si>
  <si>
    <t>Enemy20</t>
  </si>
  <si>
    <t>RewardEnchantStone</t>
    <phoneticPr fontId="1" type="noConversion"/>
  </si>
  <si>
    <t>영웅 레벨업시 공격력 증가</t>
  </si>
  <si>
    <t>abcd</t>
    <phoneticPr fontId="2" type="noConversion"/>
  </si>
  <si>
    <t>ab</t>
    <phoneticPr fontId="2" type="noConversion"/>
  </si>
  <si>
    <t>상수</t>
    <phoneticPr fontId="1" type="noConversion"/>
  </si>
  <si>
    <t>20강화 시 몹 강해지는 정도</t>
    <phoneticPr fontId="2" type="noConversion"/>
  </si>
  <si>
    <t>던전 단계 당 체력 상승량</t>
    <phoneticPr fontId="1" type="noConversion"/>
  </si>
  <si>
    <t>#</t>
    <phoneticPr fontId="1" type="noConversion"/>
  </si>
  <si>
    <t>적정 강화 단계</t>
    <phoneticPr fontId="1" type="noConversion"/>
  </si>
  <si>
    <t>적용값</t>
    <phoneticPr fontId="1" type="noConversion"/>
  </si>
  <si>
    <t>계산값</t>
    <phoneticPr fontId="1" type="noConversion"/>
  </si>
  <si>
    <t>100강화 시 영웅 공격력 배율</t>
    <phoneticPr fontId="2" type="noConversion"/>
  </si>
  <si>
    <t>300강화 시 영웅 공격력 배율</t>
    <phoneticPr fontId="2" type="noConversion"/>
  </si>
  <si>
    <t>영혼석</t>
    <phoneticPr fontId="1" type="noConversion"/>
  </si>
  <si>
    <t>강화석</t>
    <phoneticPr fontId="1" type="noConversion"/>
  </si>
  <si>
    <t>몬스터 체력</t>
    <phoneticPr fontId="1" type="noConversion"/>
  </si>
  <si>
    <t>영혼석 일일 획득량</t>
    <phoneticPr fontId="1" type="noConversion"/>
  </si>
  <si>
    <t>강화석 일일 획득량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</si>
</sst>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.E+00"/>
  </numFmts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11" fontId="0" fillId="0" borderId="0" xfId="0" applyNumberFormat="1"/>
    <xf numFmtId="9" fontId="0" fillId="0" borderId="0" xfId="0" applyNumberFormat="1" applyAlignment="1">
      <alignment vertical="center"/>
    </xf>
    <xf numFmtId="176" fontId="0" fillId="0" borderId="0" xfId="0" applyNumberFormat="1" applyAlignment="1">
      <alignment vertical="center"/>
    </xf>
    <xf numFmtId="0" fontId="0" fillId="2" borderId="0" xfId="0" applyFill="1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H21"/>
  <sheetViews>
    <sheetView tabSelected="1" workbookViewId="0">
      <selection activeCell="C10" sqref="C10"/>
    </sheetView>
  </sheetViews>
  <sheetFormatPr defaultRowHeight="16.5" x14ac:dyDescent="0.3"/>
  <cols>
    <col min="1" max="1" width="43.625" customWidth="1"/>
    <col min="3" max="3" width="20.375" bestFit="1" customWidth="1"/>
    <col min="4" max="4" width="12.875" bestFit="1" customWidth="1"/>
    <col min="5" max="6" width="12.875" customWidth="1"/>
    <col min="7" max="7" width="15.25" bestFit="1" customWidth="1"/>
    <col min="8" max="8" width="19.125" bestFit="1" customWidth="1"/>
    <col min="9" max="9" width="15.75" bestFit="1" customWidth="1"/>
  </cols>
  <sheetData>
    <row r="1" spans="2:8" ht="33.75" customHeight="1" x14ac:dyDescent="0.3">
      <c r="B1" t="s">
        <v>0</v>
      </c>
      <c r="C1" t="s">
        <v>4</v>
      </c>
      <c r="D1" t="s">
        <v>1</v>
      </c>
      <c r="E1" t="s">
        <v>5</v>
      </c>
      <c r="F1" t="s">
        <v>9</v>
      </c>
      <c r="G1" t="s">
        <v>3</v>
      </c>
      <c r="H1" t="s">
        <v>29</v>
      </c>
    </row>
    <row r="2" spans="2:8" x14ac:dyDescent="0.3">
      <c r="B2">
        <v>1</v>
      </c>
      <c r="C2" t="str">
        <f>"str_name_dungeon_"&amp;B2</f>
        <v>str_name_dungeon_1</v>
      </c>
      <c r="D2" t="s">
        <v>2</v>
      </c>
      <c r="E2" t="s">
        <v>7</v>
      </c>
      <c r="F2" s="2">
        <v>777000000</v>
      </c>
      <c r="G2">
        <v>20</v>
      </c>
      <c r="H2">
        <v>50</v>
      </c>
    </row>
    <row r="3" spans="2:8" x14ac:dyDescent="0.3">
      <c r="B3">
        <v>2</v>
      </c>
      <c r="C3" t="str">
        <f t="shared" ref="C3:C21" si="0">"str_name_dungeon_"&amp;B3</f>
        <v>str_name_dungeon_2</v>
      </c>
      <c r="D3" t="s">
        <v>10</v>
      </c>
      <c r="E3" t="s">
        <v>6</v>
      </c>
      <c r="F3" s="3">
        <v>4662000000</v>
      </c>
      <c r="G3">
        <v>25</v>
      </c>
      <c r="H3">
        <v>70</v>
      </c>
    </row>
    <row r="4" spans="2:8" x14ac:dyDescent="0.3">
      <c r="B4">
        <v>3</v>
      </c>
      <c r="C4" t="str">
        <f t="shared" si="0"/>
        <v>str_name_dungeon_3</v>
      </c>
      <c r="D4" t="s">
        <v>11</v>
      </c>
      <c r="E4" t="s">
        <v>8</v>
      </c>
      <c r="F4" s="3">
        <v>27972000000</v>
      </c>
      <c r="G4">
        <v>30</v>
      </c>
      <c r="H4">
        <v>90</v>
      </c>
    </row>
    <row r="5" spans="2:8" x14ac:dyDescent="0.3">
      <c r="B5">
        <v>4</v>
      </c>
      <c r="C5" t="str">
        <f t="shared" si="0"/>
        <v>str_name_dungeon_4</v>
      </c>
      <c r="D5" t="s">
        <v>12</v>
      </c>
      <c r="E5" t="s">
        <v>6</v>
      </c>
      <c r="F5" s="3">
        <v>167832000000</v>
      </c>
      <c r="G5">
        <v>35</v>
      </c>
      <c r="H5">
        <v>110</v>
      </c>
    </row>
    <row r="6" spans="2:8" x14ac:dyDescent="0.3">
      <c r="B6">
        <v>5</v>
      </c>
      <c r="C6" t="str">
        <f t="shared" si="0"/>
        <v>str_name_dungeon_5</v>
      </c>
      <c r="D6" t="s">
        <v>13</v>
      </c>
      <c r="E6" t="s">
        <v>7</v>
      </c>
      <c r="F6" s="3">
        <v>1006992000000</v>
      </c>
      <c r="G6">
        <v>40</v>
      </c>
      <c r="H6">
        <v>140</v>
      </c>
    </row>
    <row r="7" spans="2:8" x14ac:dyDescent="0.3">
      <c r="B7">
        <v>6</v>
      </c>
      <c r="C7" t="str">
        <f t="shared" si="0"/>
        <v>str_name_dungeon_6</v>
      </c>
      <c r="D7" t="s">
        <v>14</v>
      </c>
      <c r="E7" t="s">
        <v>8</v>
      </c>
      <c r="F7" s="3">
        <v>6041952000000</v>
      </c>
      <c r="G7">
        <v>45</v>
      </c>
      <c r="H7">
        <v>170</v>
      </c>
    </row>
    <row r="8" spans="2:8" x14ac:dyDescent="0.3">
      <c r="B8">
        <v>7</v>
      </c>
      <c r="C8" t="str">
        <f t="shared" si="0"/>
        <v>str_name_dungeon_7</v>
      </c>
      <c r="D8" t="s">
        <v>15</v>
      </c>
      <c r="E8" t="s">
        <v>6</v>
      </c>
      <c r="F8" s="3">
        <v>36251712000000</v>
      </c>
      <c r="G8">
        <v>50</v>
      </c>
      <c r="H8">
        <v>210</v>
      </c>
    </row>
    <row r="9" spans="2:8" x14ac:dyDescent="0.3">
      <c r="B9">
        <v>8</v>
      </c>
      <c r="C9" t="str">
        <f t="shared" si="0"/>
        <v>str_name_dungeon_8</v>
      </c>
      <c r="D9" t="s">
        <v>16</v>
      </c>
      <c r="E9" t="s">
        <v>7</v>
      </c>
      <c r="F9" s="3">
        <v>217510272000000</v>
      </c>
      <c r="G9">
        <v>60</v>
      </c>
      <c r="H9">
        <v>260</v>
      </c>
    </row>
    <row r="10" spans="2:8" x14ac:dyDescent="0.3">
      <c r="B10">
        <v>9</v>
      </c>
      <c r="C10" t="str">
        <f t="shared" si="0"/>
        <v>str_name_dungeon_9</v>
      </c>
      <c r="D10" t="s">
        <v>17</v>
      </c>
      <c r="E10" t="s">
        <v>6</v>
      </c>
      <c r="F10" s="3">
        <v>1305061632000000</v>
      </c>
      <c r="G10">
        <v>70</v>
      </c>
      <c r="H10">
        <v>320</v>
      </c>
    </row>
    <row r="11" spans="2:8" x14ac:dyDescent="0.3">
      <c r="B11">
        <v>10</v>
      </c>
      <c r="C11" t="str">
        <f t="shared" si="0"/>
        <v>str_name_dungeon_10</v>
      </c>
      <c r="D11" t="s">
        <v>18</v>
      </c>
      <c r="E11" t="s">
        <v>7</v>
      </c>
      <c r="F11" s="3">
        <v>7830369792000000</v>
      </c>
      <c r="G11">
        <v>80</v>
      </c>
      <c r="H11">
        <v>390</v>
      </c>
    </row>
    <row r="12" spans="2:8" x14ac:dyDescent="0.3">
      <c r="B12">
        <v>11</v>
      </c>
      <c r="C12" t="str">
        <f t="shared" si="0"/>
        <v>str_name_dungeon_11</v>
      </c>
      <c r="D12" t="s">
        <v>19</v>
      </c>
      <c r="E12" t="s">
        <v>6</v>
      </c>
      <c r="F12" s="3">
        <v>4.6982218752E+16</v>
      </c>
      <c r="G12">
        <v>90</v>
      </c>
      <c r="H12">
        <v>470</v>
      </c>
    </row>
    <row r="13" spans="2:8" x14ac:dyDescent="0.3">
      <c r="B13">
        <v>12</v>
      </c>
      <c r="C13" t="str">
        <f t="shared" si="0"/>
        <v>str_name_dungeon_12</v>
      </c>
      <c r="D13" t="s">
        <v>20</v>
      </c>
      <c r="E13" t="s">
        <v>8</v>
      </c>
      <c r="F13" s="3">
        <v>2.81893312512E+17</v>
      </c>
      <c r="G13">
        <v>100</v>
      </c>
      <c r="H13">
        <v>570</v>
      </c>
    </row>
    <row r="14" spans="2:8" x14ac:dyDescent="0.3">
      <c r="B14">
        <v>13</v>
      </c>
      <c r="C14" t="str">
        <f t="shared" si="0"/>
        <v>str_name_dungeon_13</v>
      </c>
      <c r="D14" t="s">
        <v>21</v>
      </c>
      <c r="E14" t="s">
        <v>8</v>
      </c>
      <c r="F14" s="3">
        <v>1.691359875072E+18</v>
      </c>
      <c r="G14">
        <v>115</v>
      </c>
      <c r="H14">
        <v>690</v>
      </c>
    </row>
    <row r="15" spans="2:8" x14ac:dyDescent="0.3">
      <c r="B15">
        <v>14</v>
      </c>
      <c r="C15" t="str">
        <f t="shared" si="0"/>
        <v>str_name_dungeon_14</v>
      </c>
      <c r="D15" t="s">
        <v>22</v>
      </c>
      <c r="E15" t="s">
        <v>7</v>
      </c>
      <c r="F15" s="3">
        <v>1.0148159250432E+19</v>
      </c>
      <c r="G15">
        <v>130</v>
      </c>
      <c r="H15">
        <v>830</v>
      </c>
    </row>
    <row r="16" spans="2:8" x14ac:dyDescent="0.3">
      <c r="B16">
        <v>15</v>
      </c>
      <c r="C16" t="str">
        <f t="shared" si="0"/>
        <v>str_name_dungeon_15</v>
      </c>
      <c r="D16" t="s">
        <v>23</v>
      </c>
      <c r="E16" t="s">
        <v>7</v>
      </c>
      <c r="F16" s="3">
        <v>6.0888955502592E+19</v>
      </c>
      <c r="G16">
        <v>145</v>
      </c>
      <c r="H16">
        <v>1000</v>
      </c>
    </row>
    <row r="17" spans="2:8" x14ac:dyDescent="0.3">
      <c r="B17">
        <v>16</v>
      </c>
      <c r="C17" t="str">
        <f t="shared" si="0"/>
        <v>str_name_dungeon_16</v>
      </c>
      <c r="D17" t="s">
        <v>24</v>
      </c>
      <c r="E17" t="s">
        <v>6</v>
      </c>
      <c r="F17" s="3">
        <v>3.65333733015552E+20</v>
      </c>
      <c r="G17">
        <v>160</v>
      </c>
      <c r="H17">
        <v>1210</v>
      </c>
    </row>
    <row r="18" spans="2:8" x14ac:dyDescent="0.3">
      <c r="B18">
        <v>17</v>
      </c>
      <c r="C18" t="str">
        <f t="shared" si="0"/>
        <v>str_name_dungeon_17</v>
      </c>
      <c r="D18" t="s">
        <v>25</v>
      </c>
      <c r="E18" t="s">
        <v>8</v>
      </c>
      <c r="F18" s="3">
        <v>2.192002398093312E+21</v>
      </c>
      <c r="G18">
        <v>180</v>
      </c>
      <c r="H18">
        <v>1460</v>
      </c>
    </row>
    <row r="19" spans="2:8" x14ac:dyDescent="0.3">
      <c r="B19">
        <v>18</v>
      </c>
      <c r="C19" t="str">
        <f t="shared" si="0"/>
        <v>str_name_dungeon_18</v>
      </c>
      <c r="D19" t="s">
        <v>26</v>
      </c>
      <c r="E19" t="s">
        <v>7</v>
      </c>
      <c r="F19" s="3">
        <v>1.3152014388559872E+22</v>
      </c>
      <c r="G19">
        <v>200</v>
      </c>
      <c r="H19">
        <v>1760</v>
      </c>
    </row>
    <row r="20" spans="2:8" x14ac:dyDescent="0.3">
      <c r="B20">
        <v>19</v>
      </c>
      <c r="C20" t="str">
        <f t="shared" si="0"/>
        <v>str_name_dungeon_19</v>
      </c>
      <c r="D20" t="s">
        <v>27</v>
      </c>
      <c r="E20" t="s">
        <v>8</v>
      </c>
      <c r="F20" s="3">
        <v>7.8912086331359232E+22</v>
      </c>
      <c r="G20">
        <v>225</v>
      </c>
      <c r="H20">
        <v>2120</v>
      </c>
    </row>
    <row r="21" spans="2:8" x14ac:dyDescent="0.3">
      <c r="B21">
        <v>20</v>
      </c>
      <c r="C21" t="str">
        <f t="shared" si="0"/>
        <v>str_name_dungeon_20</v>
      </c>
      <c r="D21" t="s">
        <v>28</v>
      </c>
      <c r="E21" t="s">
        <v>6</v>
      </c>
      <c r="F21" s="3">
        <v>4.7347251798815543E+23</v>
      </c>
      <c r="G21">
        <v>250</v>
      </c>
      <c r="H21">
        <v>2550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N22"/>
  <sheetViews>
    <sheetView workbookViewId="0">
      <selection activeCell="E3" sqref="E3:E22"/>
    </sheetView>
  </sheetViews>
  <sheetFormatPr defaultColWidth="8.75" defaultRowHeight="16.5" x14ac:dyDescent="0.3"/>
  <cols>
    <col min="1" max="1" width="8.75" style="1"/>
    <col min="2" max="2" width="3.5" style="1" bestFit="1" customWidth="1"/>
    <col min="3" max="3" width="14.375" style="1" bestFit="1" customWidth="1"/>
    <col min="4" max="4" width="9.625" style="1" bestFit="1" customWidth="1"/>
    <col min="5" max="5" width="9.25" style="1" bestFit="1" customWidth="1"/>
    <col min="6" max="6" width="8.875" style="1" bestFit="1" customWidth="1"/>
    <col min="7" max="7" width="18.625" style="1" bestFit="1" customWidth="1"/>
    <col min="8" max="8" width="8.75" style="1"/>
    <col min="9" max="9" width="18.625" style="1" bestFit="1" customWidth="1"/>
    <col min="10" max="10" width="8.75" style="1"/>
    <col min="11" max="11" width="27.5" style="1" bestFit="1" customWidth="1"/>
    <col min="12" max="16384" width="8.75" style="1"/>
  </cols>
  <sheetData>
    <row r="1" spans="2:14" x14ac:dyDescent="0.3">
      <c r="D1" s="1" t="s">
        <v>44</v>
      </c>
      <c r="F1" s="1" t="s">
        <v>42</v>
      </c>
      <c r="H1" s="1" t="s">
        <v>43</v>
      </c>
    </row>
    <row r="2" spans="2:14" x14ac:dyDescent="0.3">
      <c r="B2" s="1" t="s">
        <v>36</v>
      </c>
      <c r="C2" s="1" t="s">
        <v>37</v>
      </c>
      <c r="D2" s="1" t="s">
        <v>39</v>
      </c>
      <c r="E2" s="6" t="s">
        <v>38</v>
      </c>
      <c r="F2" s="1" t="s">
        <v>42</v>
      </c>
      <c r="G2" s="1" t="s">
        <v>45</v>
      </c>
      <c r="H2" s="1" t="s">
        <v>43</v>
      </c>
      <c r="I2" s="1" t="s">
        <v>46</v>
      </c>
      <c r="K2" s="1" t="s">
        <v>30</v>
      </c>
      <c r="L2" s="4">
        <v>0.08</v>
      </c>
    </row>
    <row r="3" spans="2:14" x14ac:dyDescent="0.3">
      <c r="B3" s="1">
        <v>1</v>
      </c>
      <c r="C3" s="1">
        <v>100</v>
      </c>
      <c r="D3" s="5">
        <f t="shared" ref="D3:D22" si="0">$L$3*((1+$L$2)^C3-1)/($L$2)*5</f>
        <v>824535471.12798631</v>
      </c>
      <c r="E3" s="2">
        <v>777000000</v>
      </c>
      <c r="F3" s="1">
        <v>20</v>
      </c>
      <c r="G3" s="1">
        <f>F3*8</f>
        <v>160</v>
      </c>
      <c r="H3" s="1">
        <v>50</v>
      </c>
      <c r="I3" s="1">
        <f>H3*8</f>
        <v>400</v>
      </c>
      <c r="K3" s="1" t="s">
        <v>33</v>
      </c>
      <c r="L3" s="1">
        <f>200*30</f>
        <v>6000</v>
      </c>
    </row>
    <row r="4" spans="2:14" x14ac:dyDescent="0.3">
      <c r="B4" s="1">
        <v>2</v>
      </c>
      <c r="C4" s="1">
        <v>120</v>
      </c>
      <c r="D4" s="5">
        <f t="shared" si="0"/>
        <v>3844497353.440084</v>
      </c>
      <c r="E4" s="2">
        <f t="shared" ref="E4:E22" si="1">E3*$L$4</f>
        <v>4662000000</v>
      </c>
      <c r="F4" s="1">
        <f>ROUNDDOWN(F3*1.1/5,0)*5+5</f>
        <v>25</v>
      </c>
      <c r="G4" s="1">
        <f t="shared" ref="G4:G22" si="2">F4*8</f>
        <v>200</v>
      </c>
      <c r="H4" s="1">
        <f>ROUNDDOWN(H3*1.2,-1)+10</f>
        <v>70</v>
      </c>
      <c r="I4" s="1">
        <f t="shared" ref="I4:I22" si="3">H4*8</f>
        <v>560</v>
      </c>
      <c r="K4" s="1" t="s">
        <v>35</v>
      </c>
      <c r="L4" s="1">
        <v>6</v>
      </c>
    </row>
    <row r="5" spans="2:14" x14ac:dyDescent="0.3">
      <c r="B5" s="1">
        <v>3</v>
      </c>
      <c r="C5" s="1">
        <v>140</v>
      </c>
      <c r="D5" s="5">
        <f t="shared" si="0"/>
        <v>17920410262.955261</v>
      </c>
      <c r="E5" s="2">
        <f t="shared" si="1"/>
        <v>27972000000</v>
      </c>
      <c r="F5" s="1">
        <f t="shared" ref="F5:F22" si="4">ROUNDDOWN(F4*1.1/5,0)*5+5</f>
        <v>30</v>
      </c>
      <c r="G5" s="1">
        <f t="shared" si="2"/>
        <v>240</v>
      </c>
      <c r="H5" s="1">
        <f t="shared" ref="H5:H22" si="5">ROUNDDOWN(H4*1.2,-1)+10</f>
        <v>90</v>
      </c>
      <c r="I5" s="1">
        <f t="shared" si="3"/>
        <v>720</v>
      </c>
      <c r="K5" s="1" t="s">
        <v>41</v>
      </c>
      <c r="L5" s="1">
        <v>300</v>
      </c>
      <c r="M5" s="5">
        <f>$L$3*((1+$L$2)^L5-1)/($L$2)*94</f>
        <v>7.504396341162904E+16</v>
      </c>
      <c r="N5" s="1" t="s">
        <v>31</v>
      </c>
    </row>
    <row r="6" spans="2:14" x14ac:dyDescent="0.3">
      <c r="B6" s="1">
        <v>4</v>
      </c>
      <c r="C6" s="1">
        <v>160</v>
      </c>
      <c r="D6" s="5">
        <f t="shared" si="0"/>
        <v>83527637094.760712</v>
      </c>
      <c r="E6" s="2">
        <f t="shared" si="1"/>
        <v>167832000000</v>
      </c>
      <c r="F6" s="1">
        <f t="shared" si="4"/>
        <v>35</v>
      </c>
      <c r="G6" s="1">
        <f t="shared" si="2"/>
        <v>280</v>
      </c>
      <c r="H6" s="1">
        <f t="shared" si="5"/>
        <v>110</v>
      </c>
      <c r="I6" s="1">
        <f t="shared" si="3"/>
        <v>880</v>
      </c>
      <c r="K6" s="1" t="s">
        <v>40</v>
      </c>
      <c r="L6" s="1">
        <v>100</v>
      </c>
      <c r="M6" s="5">
        <f>$L$3*((1+$L$2)^L6-1)/($L$2)*94</f>
        <v>15501266857.206142</v>
      </c>
      <c r="N6" s="1" t="s">
        <v>32</v>
      </c>
    </row>
    <row r="7" spans="2:14" x14ac:dyDescent="0.3">
      <c r="B7" s="1">
        <v>5</v>
      </c>
      <c r="C7" s="1">
        <v>180</v>
      </c>
      <c r="D7" s="5">
        <f t="shared" si="0"/>
        <v>389320109684.60608</v>
      </c>
      <c r="E7" s="2">
        <f t="shared" si="1"/>
        <v>1006992000000</v>
      </c>
      <c r="F7" s="1">
        <f t="shared" si="4"/>
        <v>40</v>
      </c>
      <c r="G7" s="1">
        <f t="shared" si="2"/>
        <v>320</v>
      </c>
      <c r="H7" s="1">
        <f t="shared" si="5"/>
        <v>140</v>
      </c>
      <c r="I7" s="1">
        <f t="shared" si="3"/>
        <v>1120</v>
      </c>
      <c r="K7" s="1" t="s">
        <v>34</v>
      </c>
      <c r="L7" s="1">
        <v>20</v>
      </c>
      <c r="M7" s="1">
        <f>(1+$L$2)^L7</f>
        <v>4.6609571438493065</v>
      </c>
    </row>
    <row r="8" spans="2:14" x14ac:dyDescent="0.3">
      <c r="B8" s="1">
        <v>6</v>
      </c>
      <c r="C8" s="1">
        <v>200</v>
      </c>
      <c r="D8" s="5">
        <f t="shared" si="0"/>
        <v>1814605719337.5898</v>
      </c>
      <c r="E8" s="2">
        <f t="shared" si="1"/>
        <v>6041952000000</v>
      </c>
      <c r="F8" s="1">
        <f t="shared" si="4"/>
        <v>45</v>
      </c>
      <c r="G8" s="1">
        <f t="shared" si="2"/>
        <v>360</v>
      </c>
      <c r="H8" s="1">
        <f t="shared" si="5"/>
        <v>170</v>
      </c>
      <c r="I8" s="1">
        <f t="shared" si="3"/>
        <v>1360</v>
      </c>
    </row>
    <row r="9" spans="2:14" x14ac:dyDescent="0.3">
      <c r="B9" s="1">
        <v>7</v>
      </c>
      <c r="C9" s="1">
        <v>220</v>
      </c>
      <c r="D9" s="5">
        <f t="shared" si="0"/>
        <v>8457800863675.2773</v>
      </c>
      <c r="E9" s="2">
        <f t="shared" si="1"/>
        <v>36251712000000</v>
      </c>
      <c r="F9" s="1">
        <f t="shared" si="4"/>
        <v>50</v>
      </c>
      <c r="G9" s="1">
        <f t="shared" si="2"/>
        <v>400</v>
      </c>
      <c r="H9" s="1">
        <f t="shared" si="5"/>
        <v>210</v>
      </c>
      <c r="I9" s="1">
        <f t="shared" si="3"/>
        <v>1680</v>
      </c>
    </row>
    <row r="10" spans="2:14" x14ac:dyDescent="0.3">
      <c r="B10" s="1">
        <v>8</v>
      </c>
      <c r="C10" s="1">
        <v>240</v>
      </c>
      <c r="D10" s="5">
        <f t="shared" si="0"/>
        <v>39421448729661.055</v>
      </c>
      <c r="E10" s="2">
        <f t="shared" si="1"/>
        <v>217510272000000</v>
      </c>
      <c r="F10" s="1">
        <f t="shared" si="4"/>
        <v>60</v>
      </c>
      <c r="G10" s="1">
        <f t="shared" si="2"/>
        <v>480</v>
      </c>
      <c r="H10" s="1">
        <f t="shared" si="5"/>
        <v>260</v>
      </c>
      <c r="I10" s="1">
        <f t="shared" si="3"/>
        <v>2080</v>
      </c>
    </row>
    <row r="11" spans="2:14" x14ac:dyDescent="0.3">
      <c r="B11" s="1">
        <v>9</v>
      </c>
      <c r="C11" s="1">
        <v>260</v>
      </c>
      <c r="D11" s="5">
        <f t="shared" si="0"/>
        <v>183741684450261.81</v>
      </c>
      <c r="E11" s="2">
        <f t="shared" si="1"/>
        <v>1305061632000000</v>
      </c>
      <c r="F11" s="1">
        <f t="shared" si="4"/>
        <v>70</v>
      </c>
      <c r="G11" s="1">
        <f t="shared" si="2"/>
        <v>560</v>
      </c>
      <c r="H11" s="1">
        <f t="shared" si="5"/>
        <v>320</v>
      </c>
      <c r="I11" s="1">
        <f t="shared" si="3"/>
        <v>2560</v>
      </c>
    </row>
    <row r="12" spans="2:14" x14ac:dyDescent="0.3">
      <c r="B12" s="1">
        <v>10</v>
      </c>
      <c r="C12" s="1">
        <v>280</v>
      </c>
      <c r="D12" s="5">
        <f t="shared" si="0"/>
        <v>856412118134211.75</v>
      </c>
      <c r="E12" s="2">
        <f t="shared" si="1"/>
        <v>7830369792000000</v>
      </c>
      <c r="F12" s="1">
        <f t="shared" si="4"/>
        <v>80</v>
      </c>
      <c r="G12" s="1">
        <f t="shared" si="2"/>
        <v>640</v>
      </c>
      <c r="H12" s="1">
        <f t="shared" si="5"/>
        <v>390</v>
      </c>
      <c r="I12" s="1">
        <f t="shared" si="3"/>
        <v>3120</v>
      </c>
    </row>
    <row r="13" spans="2:14" x14ac:dyDescent="0.3">
      <c r="B13" s="1">
        <v>11</v>
      </c>
      <c r="C13" s="1">
        <v>300</v>
      </c>
      <c r="D13" s="5">
        <f t="shared" si="0"/>
        <v>3991700181469630</v>
      </c>
      <c r="E13" s="2">
        <f t="shared" si="1"/>
        <v>4.6982218752E+16</v>
      </c>
      <c r="F13" s="1">
        <f t="shared" si="4"/>
        <v>90</v>
      </c>
      <c r="G13" s="1">
        <f t="shared" si="2"/>
        <v>720</v>
      </c>
      <c r="H13" s="1">
        <f t="shared" si="5"/>
        <v>470</v>
      </c>
      <c r="I13" s="1">
        <f t="shared" si="3"/>
        <v>3760</v>
      </c>
    </row>
    <row r="14" spans="2:14" x14ac:dyDescent="0.3">
      <c r="B14" s="1">
        <v>12</v>
      </c>
      <c r="C14" s="1">
        <v>320</v>
      </c>
      <c r="D14" s="5">
        <f t="shared" si="0"/>
        <v>1.86051434782983E+16</v>
      </c>
      <c r="E14" s="2">
        <f t="shared" si="1"/>
        <v>2.81893312512E+17</v>
      </c>
      <c r="F14" s="1">
        <f t="shared" si="4"/>
        <v>100</v>
      </c>
      <c r="G14" s="1">
        <f t="shared" si="2"/>
        <v>800</v>
      </c>
      <c r="H14" s="1">
        <f t="shared" si="5"/>
        <v>570</v>
      </c>
      <c r="I14" s="1">
        <f t="shared" si="3"/>
        <v>4560</v>
      </c>
    </row>
    <row r="15" spans="2:14" x14ac:dyDescent="0.3">
      <c r="B15" s="1">
        <v>13</v>
      </c>
      <c r="C15" s="1">
        <v>340</v>
      </c>
      <c r="D15" s="5">
        <f t="shared" si="0"/>
        <v>8.6717776408888672E+16</v>
      </c>
      <c r="E15" s="2">
        <f t="shared" si="1"/>
        <v>1.691359875072E+18</v>
      </c>
      <c r="F15" s="1">
        <f t="shared" si="4"/>
        <v>115</v>
      </c>
      <c r="G15" s="1">
        <f t="shared" si="2"/>
        <v>920</v>
      </c>
      <c r="H15" s="1">
        <f t="shared" si="5"/>
        <v>690</v>
      </c>
      <c r="I15" s="1">
        <f t="shared" si="3"/>
        <v>5520</v>
      </c>
    </row>
    <row r="16" spans="2:14" x14ac:dyDescent="0.3">
      <c r="B16" s="1">
        <v>14</v>
      </c>
      <c r="C16" s="1">
        <v>360</v>
      </c>
      <c r="D16" s="5">
        <f t="shared" si="0"/>
        <v>4.0418783945310944E+17</v>
      </c>
      <c r="E16" s="2">
        <f t="shared" si="1"/>
        <v>1.0148159250432E+19</v>
      </c>
      <c r="F16" s="1">
        <f t="shared" si="4"/>
        <v>130</v>
      </c>
      <c r="G16" s="1">
        <f t="shared" si="2"/>
        <v>1040</v>
      </c>
      <c r="H16" s="1">
        <f t="shared" si="5"/>
        <v>830</v>
      </c>
      <c r="I16" s="1">
        <f t="shared" si="3"/>
        <v>6640</v>
      </c>
    </row>
    <row r="17" spans="2:9" x14ac:dyDescent="0.3">
      <c r="B17" s="1">
        <v>15</v>
      </c>
      <c r="C17" s="1">
        <v>380</v>
      </c>
      <c r="D17" s="5">
        <f t="shared" si="0"/>
        <v>1.8839021977573596E+18</v>
      </c>
      <c r="E17" s="2">
        <f t="shared" si="1"/>
        <v>6.0888955502592E+19</v>
      </c>
      <c r="F17" s="1">
        <f t="shared" si="4"/>
        <v>145</v>
      </c>
      <c r="G17" s="1">
        <f t="shared" si="2"/>
        <v>1160</v>
      </c>
      <c r="H17" s="1">
        <f t="shared" si="5"/>
        <v>1000</v>
      </c>
      <c r="I17" s="1">
        <f t="shared" si="3"/>
        <v>8000</v>
      </c>
    </row>
    <row r="18" spans="2:9" x14ac:dyDescent="0.3">
      <c r="B18" s="1">
        <v>16</v>
      </c>
      <c r="C18" s="1">
        <v>400</v>
      </c>
      <c r="D18" s="5">
        <f t="shared" si="0"/>
        <v>8.7807874069519503E+18</v>
      </c>
      <c r="E18" s="2">
        <f t="shared" si="1"/>
        <v>3.65333733015552E+20</v>
      </c>
      <c r="F18" s="1">
        <f t="shared" si="4"/>
        <v>160</v>
      </c>
      <c r="G18" s="1">
        <f t="shared" si="2"/>
        <v>1280</v>
      </c>
      <c r="H18" s="1">
        <f t="shared" si="5"/>
        <v>1210</v>
      </c>
      <c r="I18" s="1">
        <f t="shared" si="3"/>
        <v>9680</v>
      </c>
    </row>
    <row r="19" spans="2:9" x14ac:dyDescent="0.3">
      <c r="B19" s="1">
        <v>17</v>
      </c>
      <c r="C19" s="1">
        <v>420</v>
      </c>
      <c r="D19" s="5">
        <f t="shared" si="0"/>
        <v>4.0926873793056096E+19</v>
      </c>
      <c r="E19" s="2">
        <f t="shared" si="1"/>
        <v>2.192002398093312E+21</v>
      </c>
      <c r="F19" s="1">
        <f t="shared" si="4"/>
        <v>180</v>
      </c>
      <c r="G19" s="1">
        <f t="shared" si="2"/>
        <v>1440</v>
      </c>
      <c r="H19" s="1">
        <f t="shared" si="5"/>
        <v>1460</v>
      </c>
      <c r="I19" s="1">
        <f t="shared" si="3"/>
        <v>11680</v>
      </c>
    </row>
    <row r="20" spans="2:9" x14ac:dyDescent="0.3">
      <c r="B20" s="1">
        <v>18</v>
      </c>
      <c r="C20" s="1">
        <v>440</v>
      </c>
      <c r="D20" s="5">
        <f t="shared" si="0"/>
        <v>1.9075840478116512E+20</v>
      </c>
      <c r="E20" s="2">
        <f t="shared" si="1"/>
        <v>1.3152014388559872E+22</v>
      </c>
      <c r="F20" s="1">
        <f t="shared" si="4"/>
        <v>200</v>
      </c>
      <c r="G20" s="1">
        <f t="shared" si="2"/>
        <v>1600</v>
      </c>
      <c r="H20" s="1">
        <f t="shared" si="5"/>
        <v>1760</v>
      </c>
      <c r="I20" s="1">
        <f t="shared" si="3"/>
        <v>14080</v>
      </c>
    </row>
    <row r="21" spans="2:9" x14ac:dyDescent="0.3">
      <c r="B21" s="1">
        <v>19</v>
      </c>
      <c r="C21" s="1">
        <v>460</v>
      </c>
      <c r="D21" s="5">
        <f t="shared" si="0"/>
        <v>8.8911674951407056E+20</v>
      </c>
      <c r="E21" s="2">
        <f t="shared" si="1"/>
        <v>7.8912086331359232E+22</v>
      </c>
      <c r="F21" s="1">
        <f t="shared" si="4"/>
        <v>225</v>
      </c>
      <c r="G21" s="1">
        <f t="shared" si="2"/>
        <v>1800</v>
      </c>
      <c r="H21" s="1">
        <f t="shared" si="5"/>
        <v>2120</v>
      </c>
      <c r="I21" s="1">
        <f t="shared" si="3"/>
        <v>16960</v>
      </c>
    </row>
    <row r="22" spans="2:9" x14ac:dyDescent="0.3">
      <c r="B22" s="1">
        <v>20</v>
      </c>
      <c r="C22" s="1">
        <v>480</v>
      </c>
      <c r="D22" s="5">
        <f t="shared" si="0"/>
        <v>4.1441350653636835E+21</v>
      </c>
      <c r="E22" s="2">
        <f t="shared" si="1"/>
        <v>4.7347251798815543E+23</v>
      </c>
      <c r="F22" s="1">
        <f t="shared" si="4"/>
        <v>250</v>
      </c>
      <c r="G22" s="1">
        <f t="shared" si="2"/>
        <v>2000</v>
      </c>
      <c r="H22" s="1">
        <f t="shared" si="5"/>
        <v>2550</v>
      </c>
      <c r="I22" s="1">
        <f t="shared" si="3"/>
        <v>20400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sim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Hangaram Yi (이한가람)</cp:lastModifiedBy>
  <dcterms:created xsi:type="dcterms:W3CDTF">2012-08-21T01:23:22Z</dcterms:created>
  <dcterms:modified xsi:type="dcterms:W3CDTF">2022-08-06T16:16:19Z</dcterms:modified>
</cp:coreProperties>
</file>