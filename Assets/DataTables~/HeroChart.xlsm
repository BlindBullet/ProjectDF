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6054F526-FA29-4AC2-8103-0F024D80E360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2" i="2"/>
  <c r="N86" i="2"/>
  <c r="L86" i="2"/>
  <c r="K86" i="2"/>
  <c r="D86" i="2"/>
  <c r="C86" i="2"/>
  <c r="N85" i="2"/>
  <c r="L85" i="2"/>
  <c r="K85" i="2"/>
  <c r="D85" i="2"/>
  <c r="C85" i="2"/>
  <c r="N84" i="2"/>
  <c r="L84" i="2"/>
  <c r="K84" i="2"/>
  <c r="D84" i="2"/>
  <c r="C84" i="2"/>
  <c r="N83" i="2"/>
  <c r="L83" i="2"/>
  <c r="K83" i="2"/>
  <c r="D83" i="2"/>
  <c r="C83" i="2"/>
  <c r="N82" i="2"/>
  <c r="L82" i="2"/>
  <c r="K82" i="2"/>
  <c r="D82" i="2"/>
  <c r="C82" i="2"/>
  <c r="N81" i="2"/>
  <c r="L81" i="2"/>
  <c r="K81" i="2"/>
  <c r="D81" i="2"/>
  <c r="C81" i="2"/>
  <c r="N80" i="2"/>
  <c r="L80" i="2"/>
  <c r="K80" i="2"/>
  <c r="D80" i="2"/>
  <c r="C80" i="2"/>
  <c r="N79" i="2"/>
  <c r="L79" i="2"/>
  <c r="K79" i="2"/>
  <c r="D79" i="2"/>
  <c r="C79" i="2"/>
  <c r="N78" i="2"/>
  <c r="L78" i="2"/>
  <c r="K78" i="2"/>
  <c r="D78" i="2"/>
  <c r="C78" i="2"/>
  <c r="N77" i="2"/>
  <c r="L77" i="2"/>
  <c r="K77" i="2"/>
  <c r="D77" i="2"/>
  <c r="C77" i="2"/>
  <c r="N76" i="2"/>
  <c r="L76" i="2"/>
  <c r="K76" i="2"/>
  <c r="D76" i="2"/>
  <c r="C76" i="2"/>
  <c r="N75" i="2"/>
  <c r="L75" i="2"/>
  <c r="K75" i="2"/>
  <c r="D75" i="2"/>
  <c r="C75" i="2"/>
  <c r="N74" i="2"/>
  <c r="L74" i="2"/>
  <c r="K74" i="2"/>
  <c r="D74" i="2"/>
  <c r="C74" i="2"/>
  <c r="N73" i="2"/>
  <c r="L73" i="2"/>
  <c r="K73" i="2"/>
  <c r="D73" i="2"/>
  <c r="C73" i="2"/>
  <c r="N72" i="2"/>
  <c r="L72" i="2"/>
  <c r="K72" i="2"/>
  <c r="D72" i="2"/>
  <c r="C72" i="2"/>
  <c r="N71" i="2"/>
  <c r="L71" i="2"/>
  <c r="K71" i="2"/>
  <c r="D71" i="2"/>
  <c r="C71" i="2"/>
  <c r="N70" i="2"/>
  <c r="L70" i="2"/>
  <c r="K70" i="2"/>
  <c r="D70" i="2"/>
  <c r="C70" i="2"/>
  <c r="N69" i="2"/>
  <c r="L69" i="2"/>
  <c r="K69" i="2"/>
  <c r="D69" i="2"/>
  <c r="C69" i="2"/>
  <c r="N68" i="2"/>
  <c r="L68" i="2"/>
  <c r="K68" i="2"/>
  <c r="D68" i="2"/>
  <c r="C68" i="2"/>
  <c r="N67" i="2"/>
  <c r="L67" i="2"/>
  <c r="K67" i="2"/>
  <c r="D67" i="2"/>
  <c r="C67" i="2"/>
  <c r="N66" i="2"/>
  <c r="L66" i="2"/>
  <c r="K66" i="2"/>
  <c r="D66" i="2"/>
  <c r="C66" i="2"/>
  <c r="N65" i="2"/>
  <c r="L65" i="2"/>
  <c r="K65" i="2"/>
  <c r="D65" i="2"/>
  <c r="C65" i="2"/>
  <c r="N64" i="2"/>
  <c r="L64" i="2"/>
  <c r="K64" i="2"/>
  <c r="D64" i="2"/>
  <c r="C64" i="2"/>
  <c r="N63" i="2"/>
  <c r="L63" i="2"/>
  <c r="K63" i="2"/>
  <c r="D63" i="2"/>
  <c r="C63" i="2"/>
  <c r="N62" i="2"/>
  <c r="L62" i="2"/>
  <c r="K62" i="2"/>
  <c r="D62" i="2"/>
  <c r="C62" i="2"/>
  <c r="N61" i="2"/>
  <c r="L61" i="2"/>
  <c r="K61" i="2"/>
  <c r="D61" i="2"/>
  <c r="C61" i="2"/>
  <c r="N60" i="2"/>
  <c r="L60" i="2"/>
  <c r="K60" i="2"/>
  <c r="D60" i="2"/>
  <c r="C60" i="2"/>
  <c r="N59" i="2"/>
  <c r="L59" i="2"/>
  <c r="K59" i="2"/>
  <c r="D59" i="2"/>
  <c r="C59" i="2"/>
  <c r="N58" i="2"/>
  <c r="L58" i="2"/>
  <c r="K58" i="2"/>
  <c r="D58" i="2"/>
  <c r="C58" i="2"/>
  <c r="N57" i="2"/>
  <c r="L57" i="2"/>
  <c r="K57" i="2"/>
  <c r="D57" i="2"/>
  <c r="C57" i="2"/>
  <c r="N56" i="2"/>
  <c r="L56" i="2"/>
  <c r="K56" i="2"/>
  <c r="D56" i="2"/>
  <c r="C56" i="2"/>
  <c r="N55" i="2"/>
  <c r="L55" i="2"/>
  <c r="K55" i="2"/>
  <c r="D55" i="2"/>
  <c r="C55" i="2"/>
  <c r="N54" i="2"/>
  <c r="L54" i="2"/>
  <c r="K54" i="2"/>
  <c r="D54" i="2"/>
  <c r="C54" i="2"/>
  <c r="N53" i="2"/>
  <c r="L53" i="2"/>
  <c r="K53" i="2"/>
  <c r="D53" i="2"/>
  <c r="C53" i="2"/>
  <c r="N52" i="2"/>
  <c r="L52" i="2"/>
  <c r="K52" i="2"/>
  <c r="D52" i="2"/>
  <c r="C52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3" i="2"/>
  <c r="K4" i="2"/>
  <c r="K5" i="2"/>
  <c r="K6" i="2"/>
  <c r="K7" i="2"/>
  <c r="K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2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<sst xmlns="http://schemas.openxmlformats.org/spreadsheetml/2006/main" count="256" uniqueCount="71">
  <si>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</si>
  <si>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</si>
  <si>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</si>
  <si>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</si>
  <si>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</si>
  <si>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</si>
  <si>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</si>
  <si>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</si>
  <si>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</si>
  <si>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</si>
  <si>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</si>
  <si>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</si>
  <si>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</si>
  <si>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</si>
  <si>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</si>
  <si>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</si>
  <si>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</si>
  <si>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CollectionEffect</t>
    <phoneticPr fontId="1" type="noConversion"/>
  </si>
  <si>
    <t>CEDesc</t>
    <phoneticPr fontId="1" type="noConversion"/>
  </si>
  <si>
    <t>CostType</t>
    <phoneticPr fontId="1" type="noConversion"/>
  </si>
  <si>
    <t>f050</t>
    <phoneticPr fontId="1" type="noConversion"/>
  </si>
  <si>
    <t>f058</t>
    <phoneticPr fontId="1" type="noConversion"/>
  </si>
  <si>
    <t>SoulStone</t>
    <phoneticPr fontId="1" type="noConversion"/>
  </si>
  <si>
    <t>f018</t>
    <phoneticPr fontId="1" type="noConversion"/>
  </si>
  <si>
    <t>f035</t>
    <phoneticPr fontId="1" type="noConversion"/>
  </si>
  <si>
    <t>f003</t>
    <phoneticPr fontId="1" type="noConversion"/>
  </si>
  <si>
    <t>f179</t>
    <phoneticPr fontId="1" type="noConversion"/>
  </si>
  <si>
    <t>f023</t>
    <phoneticPr fontId="1" type="noConversion"/>
  </si>
  <si>
    <t>f043</t>
    <phoneticPr fontId="1" type="noConversion"/>
  </si>
  <si>
    <t>f022</t>
    <phoneticPr fontId="1" type="noConversion"/>
  </si>
  <si>
    <t>f246</t>
    <phoneticPr fontId="1" type="noConversion"/>
  </si>
  <si>
    <t>PenCount</t>
    <phoneticPr fontId="1" type="noConversion"/>
  </si>
  <si>
    <t>영웅 아이디</t>
    <phoneticPr fontId="1" type="noConversion"/>
  </si>
  <si>
    <t>영웅명</t>
    <phoneticPr fontId="2" type="noConversion"/>
  </si>
  <si>
    <t>영웅 설명 - 현재 쓰이지 않음</t>
    <phoneticPr fontId="2" type="noConversion"/>
  </si>
  <si>
    <t xml:space="preserve">영웅 아이콘 </t>
    <phoneticPr fontId="2" type="noConversion"/>
  </si>
  <si>
    <t>_Assets/Characters/Heroes/</t>
    <phoneticPr fontId="1" type="noConversion"/>
  </si>
  <si>
    <t>영웅 속성</t>
    <phoneticPr fontId="2" type="noConversion"/>
  </si>
  <si>
    <t>enum
Red
Blue
Green</t>
    <phoneticPr fontId="1" type="noConversion"/>
  </si>
  <si>
    <t>int</t>
    <phoneticPr fontId="2" type="noConversion"/>
  </si>
  <si>
    <t>string</t>
    <phoneticPr fontId="1" type="noConversion"/>
  </si>
  <si>
    <t>StringChart ID 입력</t>
    <phoneticPr fontId="1" type="noConversion"/>
  </si>
  <si>
    <t>double</t>
    <phoneticPr fontId="1" type="noConversion"/>
  </si>
  <si>
    <t>영웅 기본 공격력</t>
    <phoneticPr fontId="1" type="noConversion"/>
  </si>
  <si>
    <t>float</t>
    <phoneticPr fontId="1" type="noConversion"/>
  </si>
  <si>
    <t>영웅 기본 공격속도</t>
    <phoneticPr fontId="1" type="noConversion"/>
  </si>
  <si>
    <t>int</t>
    <phoneticPr fontId="1" type="noConversion"/>
  </si>
  <si>
    <t>영웅의 발사체가 관통하는 수</t>
    <phoneticPr fontId="1" type="noConversion"/>
  </si>
  <si>
    <t>SkillChart ID 입력</t>
    <phoneticPr fontId="1" type="noConversion"/>
  </si>
  <si>
    <t>영웅의 액티브 스킬</t>
    <phoneticPr fontId="1" type="noConversion"/>
  </si>
  <si>
    <t>영웅의 콜렉션 효과</t>
    <phoneticPr fontId="1" type="noConversion"/>
  </si>
  <si>
    <t>StatusEffectChart ID 입력</t>
    <phoneticPr fontId="1" type="noConversion"/>
  </si>
  <si>
    <t>콜렉션 효과 설명</t>
    <phoneticPr fontId="2" type="noConversion"/>
  </si>
  <si>
    <t>enum
Gold
Magicite
SoulStone</t>
    <phoneticPr fontId="1" type="noConversion"/>
  </si>
  <si>
    <t>영웅 등급 (현재 5등급까지만 가능)</t>
    <phoneticPr fontId="1" type="noConversion"/>
  </si>
  <si>
    <t>영웅 구매 가격 타입
시작 등급에만 입력하면 됨</t>
    <phoneticPr fontId="1" type="noConversion"/>
  </si>
  <si>
    <t>영웅 구매 가격값</t>
    <phoneticPr fontId="1" type="noConversion"/>
  </si>
  <si>
    <t>BasicAtkProjectile</t>
    <phoneticPr fontId="1" type="noConversion"/>
  </si>
  <si>
    <t>영웅 기본 공격 프로젝타일 모델</t>
    <phoneticPr fontId="1" type="noConversion"/>
  </si>
  <si>
    <t>Resources/Prefabs/Projectiles/</t>
    <phoneticPr fontId="1" type="noConversion"/>
  </si>
  <si>
    <t>f362</t>
  </si>
  <si>
    <t>f216</t>
  </si>
  <si>
    <t>f281</t>
  </si>
  <si>
    <t>f331</t>
  </si>
  <si>
    <t>f104</t>
  </si>
  <si>
    <t>f145</t>
  </si>
  <si>
    <t>f353</t>
  </si>
  <si>
    <t>f154</t>
  </si>
  <si>
    <t>f107</t>
  </si>
  <si>
    <t>f281</t>
    <phoneticPr fontId="1" type="noConversion"/>
  </si>
  <si>
    <t>f278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</si>
</sst>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86"/>
  <sheetViews>
    <sheetView tabSelected="1" workbookViewId="0">
      <pane xSplit="2" ySplit="1" topLeftCell="C60" activePane="bottomRight" state="frozen"/>
      <selection pane="topRight" activeCell="C1" sqref="C1"/>
      <selection pane="bottomLeft" activeCell="A2" sqref="A2"/>
      <selection pane="bottomRight" activeCell="E68" sqref="E68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12.3984375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0" width="14" customWidth="1"/>
    <col min="11" max="11" width="16.09765625" bestFit="1" customWidth="1"/>
    <col min="12" max="12" width="12.09765625" bestFit="1" customWidth="1"/>
    <col min="13" max="13" width="14.3984375" bestFit="1" customWidth="1"/>
    <col min="14" max="14" width="18.69921875" bestFit="1" customWidth="1"/>
    <col min="15" max="15" width="10.59765625" customWidth="1"/>
  </cols>
  <sheetData>
    <row r="1" spans="2:16" ht="33.75" customHeight="1" x14ac:dyDescent="0.4">
      <c r="B1" s="1" t="s">
        <v>8</v>
      </c>
      <c r="C1" s="1" t="s">
        <v>4</v>
      </c>
      <c r="D1" s="1" t="s">
        <v>5</v>
      </c>
      <c r="E1" s="1" t="s">
        <v>6</v>
      </c>
      <c r="F1" s="1" t="s">
        <v>12</v>
      </c>
      <c r="G1" s="1" t="s">
        <v>13</v>
      </c>
      <c r="H1" s="1" t="s">
        <v>9</v>
      </c>
      <c r="I1" s="1" t="s">
        <v>10</v>
      </c>
      <c r="J1" s="1" t="s">
        <v>31</v>
      </c>
      <c r="K1" s="1" t="s">
        <v>57</v>
      </c>
      <c r="L1" s="1" t="s">
        <v>7</v>
      </c>
      <c r="M1" s="1" t="s">
        <v>17</v>
      </c>
      <c r="N1" s="1" t="s">
        <v>18</v>
      </c>
      <c r="O1" s="1" t="s">
        <v>19</v>
      </c>
      <c r="P1" s="1" t="s">
        <v>11</v>
      </c>
    </row>
    <row r="2" spans="2:16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23</v>
      </c>
      <c r="F2" s="1" t="s">
        <v>14</v>
      </c>
      <c r="G2" s="1">
        <v>1</v>
      </c>
      <c r="H2">
        <v>10</v>
      </c>
      <c r="I2">
        <v>1</v>
      </c>
      <c r="J2" s="1">
        <v>0</v>
      </c>
      <c r="K2" t="str">
        <f>F2&amp;"1"</f>
        <v>Red1</v>
      </c>
      <c r="L2" t="str">
        <f>"skill_"&amp;B2</f>
        <v>skill_10001</v>
      </c>
      <c r="M2" t="str">
        <f>"ce_"&amp;B2</f>
        <v>ce_10001</v>
      </c>
      <c r="N2" t="str">
        <f>"str_desc_ce_"&amp;B2</f>
        <v>str_desc_ce_10001</v>
      </c>
    </row>
    <row r="3" spans="2:16" x14ac:dyDescent="0.4">
      <c r="B3" s="1">
        <v>10001</v>
      </c>
      <c r="C3" s="1" t="str">
        <f t="shared" ref="C3:C51" si="0">"str_name_"&amp;B3</f>
        <v>str_name_10001</v>
      </c>
      <c r="D3" s="1" t="str">
        <f t="shared" ref="D3:D51" si="1">"str_desc_"&amp;B3</f>
        <v>str_desc_10001</v>
      </c>
      <c r="E3" s="1" t="s">
        <v>23</v>
      </c>
      <c r="F3" s="1" t="s">
        <v>14</v>
      </c>
      <c r="G3" s="1">
        <v>2</v>
      </c>
      <c r="H3">
        <v>20</v>
      </c>
      <c r="I3">
        <v>1</v>
      </c>
      <c r="J3" s="1">
        <v>0</v>
      </c>
      <c r="K3" t="str">
        <f t="shared" ref="K3:K51" si="2">F3&amp;"1"</f>
        <v>Red1</v>
      </c>
      <c r="L3" t="str">
        <f t="shared" ref="L3:L51" si="3">"skill_"&amp;B3</f>
        <v>skill_10001</v>
      </c>
      <c r="M3" t="str">
        <f t="shared" ref="M3:M63" si="4">"ce_"&amp;B3</f>
        <v>ce_10001</v>
      </c>
      <c r="N3" t="str">
        <f t="shared" ref="N3:N51" si="5">"str_desc_ce_"&amp;B3</f>
        <v>str_desc_ce_10001</v>
      </c>
    </row>
    <row r="4" spans="2:16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23</v>
      </c>
      <c r="F4" s="1" t="s">
        <v>14</v>
      </c>
      <c r="G4" s="1">
        <v>3</v>
      </c>
      <c r="H4">
        <v>30</v>
      </c>
      <c r="I4">
        <v>1</v>
      </c>
      <c r="J4" s="1">
        <v>0</v>
      </c>
      <c r="K4" t="str">
        <f t="shared" si="2"/>
        <v>Red1</v>
      </c>
      <c r="L4" t="str">
        <f t="shared" si="3"/>
        <v>skill_10001</v>
      </c>
      <c r="M4" t="str">
        <f t="shared" si="4"/>
        <v>ce_10001</v>
      </c>
      <c r="N4" t="str">
        <f t="shared" si="5"/>
        <v>str_desc_ce_10001</v>
      </c>
    </row>
    <row r="5" spans="2:16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23</v>
      </c>
      <c r="F5" s="1" t="s">
        <v>14</v>
      </c>
      <c r="G5" s="1">
        <v>4</v>
      </c>
      <c r="H5">
        <v>40</v>
      </c>
      <c r="I5">
        <v>1</v>
      </c>
      <c r="J5" s="1">
        <v>0</v>
      </c>
      <c r="K5" t="str">
        <f t="shared" si="2"/>
        <v>Red1</v>
      </c>
      <c r="L5" t="str">
        <f t="shared" si="3"/>
        <v>skill_10001</v>
      </c>
      <c r="M5" t="str">
        <f t="shared" si="4"/>
        <v>ce_10001</v>
      </c>
      <c r="N5" t="str">
        <f t="shared" si="5"/>
        <v>str_desc_ce_10001</v>
      </c>
    </row>
    <row r="6" spans="2:16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23</v>
      </c>
      <c r="F6" s="1" t="s">
        <v>14</v>
      </c>
      <c r="G6" s="1">
        <v>5</v>
      </c>
      <c r="H6">
        <v>50</v>
      </c>
      <c r="I6">
        <v>1</v>
      </c>
      <c r="J6" s="1">
        <v>0</v>
      </c>
      <c r="K6" t="str">
        <f t="shared" si="2"/>
        <v>Red1</v>
      </c>
      <c r="L6" t="str">
        <f t="shared" si="3"/>
        <v>skill_10001</v>
      </c>
      <c r="M6" t="str">
        <f t="shared" si="4"/>
        <v>ce_10001</v>
      </c>
      <c r="N6" t="str">
        <f t="shared" si="5"/>
        <v>str_desc_ce_10001</v>
      </c>
    </row>
    <row r="7" spans="2:16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24</v>
      </c>
      <c r="F7" s="1" t="s">
        <v>16</v>
      </c>
      <c r="G7" s="1">
        <v>1</v>
      </c>
      <c r="H7">
        <v>8</v>
      </c>
      <c r="I7">
        <v>1.25</v>
      </c>
      <c r="J7" s="1">
        <v>0</v>
      </c>
      <c r="K7" t="str">
        <f t="shared" si="2"/>
        <v>Blue1</v>
      </c>
      <c r="L7" t="str">
        <f t="shared" si="3"/>
        <v>skill_10002</v>
      </c>
      <c r="M7" t="str">
        <f t="shared" si="4"/>
        <v>ce_10002</v>
      </c>
      <c r="N7" t="str">
        <f t="shared" si="5"/>
        <v>str_desc_ce_10002</v>
      </c>
    </row>
    <row r="8" spans="2:16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24</v>
      </c>
      <c r="F8" s="1" t="s">
        <v>16</v>
      </c>
      <c r="G8" s="1">
        <v>2</v>
      </c>
      <c r="H8">
        <v>16</v>
      </c>
      <c r="I8">
        <v>1.25</v>
      </c>
      <c r="J8" s="1">
        <v>0</v>
      </c>
      <c r="K8" t="str">
        <f t="shared" si="2"/>
        <v>Blue1</v>
      </c>
      <c r="L8" t="str">
        <f t="shared" si="3"/>
        <v>skill_10002</v>
      </c>
      <c r="M8" t="str">
        <f t="shared" si="4"/>
        <v>ce_10002</v>
      </c>
      <c r="N8" t="str">
        <f t="shared" si="5"/>
        <v>str_desc_ce_10002</v>
      </c>
    </row>
    <row r="9" spans="2:16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24</v>
      </c>
      <c r="F9" s="1" t="s">
        <v>16</v>
      </c>
      <c r="G9" s="1">
        <v>3</v>
      </c>
      <c r="H9">
        <v>20</v>
      </c>
      <c r="I9">
        <v>1.5</v>
      </c>
      <c r="J9" s="1">
        <v>0</v>
      </c>
      <c r="K9" t="str">
        <f t="shared" si="2"/>
        <v>Blue1</v>
      </c>
      <c r="L9" t="str">
        <f t="shared" si="3"/>
        <v>skill_10002</v>
      </c>
      <c r="M9" t="str">
        <f t="shared" si="4"/>
        <v>ce_10002</v>
      </c>
      <c r="N9" t="str">
        <f t="shared" si="5"/>
        <v>str_desc_ce_10002</v>
      </c>
    </row>
    <row r="10" spans="2:16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24</v>
      </c>
      <c r="F10" s="1" t="s">
        <v>16</v>
      </c>
      <c r="G10" s="1">
        <v>4</v>
      </c>
      <c r="H10">
        <v>20</v>
      </c>
      <c r="I10">
        <v>1.8</v>
      </c>
      <c r="J10" s="1">
        <v>0</v>
      </c>
      <c r="K10" t="str">
        <f t="shared" si="2"/>
        <v>Blue1</v>
      </c>
      <c r="L10" t="str">
        <f t="shared" si="3"/>
        <v>skill_10002</v>
      </c>
      <c r="M10" t="str">
        <f t="shared" si="4"/>
        <v>ce_10002</v>
      </c>
      <c r="N10" t="str">
        <f t="shared" si="5"/>
        <v>str_desc_ce_10002</v>
      </c>
    </row>
    <row r="11" spans="2:16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24</v>
      </c>
      <c r="F11" s="1" t="s">
        <v>16</v>
      </c>
      <c r="G11" s="1">
        <v>5</v>
      </c>
      <c r="H11">
        <v>25</v>
      </c>
      <c r="I11">
        <v>2</v>
      </c>
      <c r="J11" s="1">
        <v>0</v>
      </c>
      <c r="K11" t="str">
        <f t="shared" si="2"/>
        <v>Blue1</v>
      </c>
      <c r="L11" t="str">
        <f t="shared" si="3"/>
        <v>skill_10002</v>
      </c>
      <c r="M11" t="str">
        <f t="shared" si="4"/>
        <v>ce_10002</v>
      </c>
      <c r="N11" t="str">
        <f t="shared" si="5"/>
        <v>str_desc_ce_10002</v>
      </c>
    </row>
    <row r="12" spans="2:16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20</v>
      </c>
      <c r="F12" s="1" t="s">
        <v>15</v>
      </c>
      <c r="G12" s="1">
        <v>1</v>
      </c>
      <c r="H12">
        <v>20</v>
      </c>
      <c r="I12">
        <v>0.5</v>
      </c>
      <c r="J12" s="1">
        <v>0</v>
      </c>
      <c r="K12" t="str">
        <f t="shared" si="2"/>
        <v>Green1</v>
      </c>
      <c r="L12" t="str">
        <f t="shared" si="3"/>
        <v>skill_10003</v>
      </c>
      <c r="M12" t="str">
        <f t="shared" si="4"/>
        <v>ce_10003</v>
      </c>
      <c r="N12" t="str">
        <f t="shared" si="5"/>
        <v>str_desc_ce_10003</v>
      </c>
    </row>
    <row r="13" spans="2:16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20</v>
      </c>
      <c r="F13" s="1" t="s">
        <v>15</v>
      </c>
      <c r="G13" s="1">
        <v>2</v>
      </c>
      <c r="H13">
        <v>33</v>
      </c>
      <c r="I13">
        <v>0.6</v>
      </c>
      <c r="J13" s="1">
        <v>0</v>
      </c>
      <c r="K13" t="str">
        <f t="shared" si="2"/>
        <v>Green1</v>
      </c>
      <c r="L13" t="str">
        <f t="shared" si="3"/>
        <v>skill_10003</v>
      </c>
      <c r="M13" t="str">
        <f t="shared" si="4"/>
        <v>ce_10003</v>
      </c>
      <c r="N13" t="str">
        <f t="shared" si="5"/>
        <v>str_desc_ce_10003</v>
      </c>
    </row>
    <row r="14" spans="2:16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20</v>
      </c>
      <c r="F14" s="1" t="s">
        <v>15</v>
      </c>
      <c r="G14" s="1">
        <v>3</v>
      </c>
      <c r="H14">
        <v>42</v>
      </c>
      <c r="I14">
        <v>0.7</v>
      </c>
      <c r="J14" s="1">
        <v>0</v>
      </c>
      <c r="K14" t="str">
        <f t="shared" si="2"/>
        <v>Green1</v>
      </c>
      <c r="L14" t="str">
        <f t="shared" si="3"/>
        <v>skill_10003</v>
      </c>
      <c r="M14" t="str">
        <f t="shared" si="4"/>
        <v>ce_10003</v>
      </c>
      <c r="N14" t="str">
        <f t="shared" si="5"/>
        <v>str_desc_ce_10003</v>
      </c>
    </row>
    <row r="15" spans="2:16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20</v>
      </c>
      <c r="F15" s="1" t="s">
        <v>15</v>
      </c>
      <c r="G15" s="1">
        <v>4</v>
      </c>
      <c r="H15">
        <v>50</v>
      </c>
      <c r="I15">
        <v>0.8</v>
      </c>
      <c r="J15" s="1">
        <v>0</v>
      </c>
      <c r="K15" t="str">
        <f t="shared" si="2"/>
        <v>Green1</v>
      </c>
      <c r="L15" t="str">
        <f t="shared" si="3"/>
        <v>skill_10003</v>
      </c>
      <c r="M15" t="str">
        <f t="shared" si="4"/>
        <v>ce_10003</v>
      </c>
      <c r="N15" t="str">
        <f t="shared" si="5"/>
        <v>str_desc_ce_10003</v>
      </c>
    </row>
    <row r="16" spans="2:16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20</v>
      </c>
      <c r="F16" s="1" t="s">
        <v>15</v>
      </c>
      <c r="G16" s="1">
        <v>5</v>
      </c>
      <c r="H16">
        <v>55</v>
      </c>
      <c r="I16">
        <v>0.9</v>
      </c>
      <c r="J16" s="1">
        <v>0</v>
      </c>
      <c r="K16" t="str">
        <f t="shared" si="2"/>
        <v>Green1</v>
      </c>
      <c r="L16" t="str">
        <f t="shared" si="3"/>
        <v>skill_10003</v>
      </c>
      <c r="M16" t="str">
        <f t="shared" si="4"/>
        <v>ce_10003</v>
      </c>
      <c r="N16" t="str">
        <f t="shared" si="5"/>
        <v>str_desc_ce_10003</v>
      </c>
    </row>
    <row r="17" spans="2:16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25</v>
      </c>
      <c r="F17" s="1" t="s">
        <v>14</v>
      </c>
      <c r="G17" s="1">
        <v>1</v>
      </c>
      <c r="H17">
        <v>14</v>
      </c>
      <c r="I17">
        <v>0.75</v>
      </c>
      <c r="J17" s="1">
        <v>0</v>
      </c>
      <c r="K17" t="str">
        <f t="shared" si="2"/>
        <v>Red1</v>
      </c>
      <c r="L17" t="str">
        <f t="shared" si="3"/>
        <v>skill_10004</v>
      </c>
      <c r="M17" t="str">
        <f t="shared" si="4"/>
        <v>ce_10004</v>
      </c>
      <c r="N17" t="str">
        <f t="shared" si="5"/>
        <v>str_desc_ce_10004</v>
      </c>
    </row>
    <row r="18" spans="2:16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25</v>
      </c>
      <c r="F18" s="1" t="s">
        <v>14</v>
      </c>
      <c r="G18" s="1">
        <v>2</v>
      </c>
      <c r="H18">
        <v>28</v>
      </c>
      <c r="I18">
        <v>0.75</v>
      </c>
      <c r="J18" s="1">
        <v>0</v>
      </c>
      <c r="K18" t="str">
        <f t="shared" si="2"/>
        <v>Red1</v>
      </c>
      <c r="L18" t="str">
        <f t="shared" si="3"/>
        <v>skill_10004</v>
      </c>
      <c r="M18" t="str">
        <f t="shared" si="4"/>
        <v>ce_10004</v>
      </c>
      <c r="N18" t="str">
        <f t="shared" si="5"/>
        <v>str_desc_ce_10004</v>
      </c>
    </row>
    <row r="19" spans="2:16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25</v>
      </c>
      <c r="F19" s="1" t="s">
        <v>14</v>
      </c>
      <c r="G19" s="1">
        <v>3</v>
      </c>
      <c r="H19">
        <v>41</v>
      </c>
      <c r="I19">
        <v>0.75</v>
      </c>
      <c r="J19" s="1">
        <v>0</v>
      </c>
      <c r="K19" t="str">
        <f t="shared" si="2"/>
        <v>Red1</v>
      </c>
      <c r="L19" t="str">
        <f t="shared" si="3"/>
        <v>skill_10004</v>
      </c>
      <c r="M19" t="str">
        <f t="shared" si="4"/>
        <v>ce_10004</v>
      </c>
      <c r="N19" t="str">
        <f t="shared" si="5"/>
        <v>str_desc_ce_10004</v>
      </c>
    </row>
    <row r="20" spans="2:16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25</v>
      </c>
      <c r="F20" s="1" t="s">
        <v>14</v>
      </c>
      <c r="G20" s="1">
        <v>4</v>
      </c>
      <c r="H20">
        <v>54</v>
      </c>
      <c r="I20">
        <v>0.75</v>
      </c>
      <c r="J20" s="1">
        <v>0</v>
      </c>
      <c r="K20" t="str">
        <f t="shared" si="2"/>
        <v>Red1</v>
      </c>
      <c r="L20" t="str">
        <f t="shared" si="3"/>
        <v>skill_10004</v>
      </c>
      <c r="M20" t="str">
        <f t="shared" si="4"/>
        <v>ce_10004</v>
      </c>
      <c r="N20" t="str">
        <f t="shared" si="5"/>
        <v>str_desc_ce_10004</v>
      </c>
    </row>
    <row r="21" spans="2:16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25</v>
      </c>
      <c r="F21" s="1" t="s">
        <v>14</v>
      </c>
      <c r="G21" s="1">
        <v>5</v>
      </c>
      <c r="H21">
        <v>67</v>
      </c>
      <c r="I21">
        <v>0.75</v>
      </c>
      <c r="J21" s="1">
        <v>0</v>
      </c>
      <c r="K21" t="str">
        <f t="shared" si="2"/>
        <v>Red1</v>
      </c>
      <c r="L21" t="str">
        <f t="shared" si="3"/>
        <v>skill_10004</v>
      </c>
      <c r="M21" t="str">
        <f t="shared" si="4"/>
        <v>ce_10004</v>
      </c>
      <c r="N21" t="str">
        <f t="shared" si="5"/>
        <v>str_desc_ce_10004</v>
      </c>
    </row>
    <row r="22" spans="2:16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26</v>
      </c>
      <c r="F22" s="1" t="s">
        <v>15</v>
      </c>
      <c r="G22" s="1">
        <v>1</v>
      </c>
      <c r="H22">
        <v>10</v>
      </c>
      <c r="I22">
        <v>1</v>
      </c>
      <c r="J22" s="1">
        <v>0</v>
      </c>
      <c r="K22" t="str">
        <f t="shared" si="2"/>
        <v>Green1</v>
      </c>
      <c r="L22" t="str">
        <f t="shared" si="3"/>
        <v>skill_10005</v>
      </c>
      <c r="M22" t="str">
        <f t="shared" si="4"/>
        <v>ce_10005</v>
      </c>
      <c r="N22" t="str">
        <f t="shared" si="5"/>
        <v>str_desc_ce_10005</v>
      </c>
    </row>
    <row r="23" spans="2:16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26</v>
      </c>
      <c r="F23" s="1" t="s">
        <v>15</v>
      </c>
      <c r="G23" s="1">
        <v>2</v>
      </c>
      <c r="H23">
        <v>20</v>
      </c>
      <c r="I23">
        <v>1</v>
      </c>
      <c r="J23" s="1">
        <v>0</v>
      </c>
      <c r="K23" t="str">
        <f t="shared" si="2"/>
        <v>Green1</v>
      </c>
      <c r="L23" t="str">
        <f t="shared" si="3"/>
        <v>skill_10005</v>
      </c>
      <c r="M23" t="str">
        <f t="shared" si="4"/>
        <v>ce_10005</v>
      </c>
      <c r="N23" t="str">
        <f t="shared" si="5"/>
        <v>str_desc_ce_10005</v>
      </c>
    </row>
    <row r="24" spans="2:16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26</v>
      </c>
      <c r="F24" s="1" t="s">
        <v>15</v>
      </c>
      <c r="G24" s="1">
        <v>3</v>
      </c>
      <c r="H24">
        <v>30</v>
      </c>
      <c r="I24">
        <v>1</v>
      </c>
      <c r="J24" s="1">
        <v>0</v>
      </c>
      <c r="K24" t="str">
        <f t="shared" si="2"/>
        <v>Green1</v>
      </c>
      <c r="L24" t="str">
        <f t="shared" si="3"/>
        <v>skill_10005</v>
      </c>
      <c r="M24" t="str">
        <f t="shared" si="4"/>
        <v>ce_10005</v>
      </c>
      <c r="N24" t="str">
        <f t="shared" si="5"/>
        <v>str_desc_ce_10005</v>
      </c>
    </row>
    <row r="25" spans="2:16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26</v>
      </c>
      <c r="F25" s="1" t="s">
        <v>15</v>
      </c>
      <c r="G25" s="1">
        <v>4</v>
      </c>
      <c r="H25">
        <v>40</v>
      </c>
      <c r="I25">
        <v>1</v>
      </c>
      <c r="J25" s="1">
        <v>0</v>
      </c>
      <c r="K25" t="str">
        <f t="shared" si="2"/>
        <v>Green1</v>
      </c>
      <c r="L25" t="str">
        <f t="shared" si="3"/>
        <v>skill_10005</v>
      </c>
      <c r="M25" t="str">
        <f t="shared" si="4"/>
        <v>ce_10005</v>
      </c>
      <c r="N25" t="str">
        <f t="shared" si="5"/>
        <v>str_desc_ce_10005</v>
      </c>
    </row>
    <row r="26" spans="2:16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26</v>
      </c>
      <c r="F26" s="1" t="s">
        <v>15</v>
      </c>
      <c r="G26" s="1">
        <v>5</v>
      </c>
      <c r="H26">
        <v>50</v>
      </c>
      <c r="I26">
        <v>1</v>
      </c>
      <c r="J26" s="1">
        <v>0</v>
      </c>
      <c r="K26" t="str">
        <f t="shared" si="2"/>
        <v>Green1</v>
      </c>
      <c r="L26" t="str">
        <f t="shared" si="3"/>
        <v>skill_10005</v>
      </c>
      <c r="M26" t="str">
        <f t="shared" si="4"/>
        <v>ce_10005</v>
      </c>
      <c r="N26" t="str">
        <f t="shared" si="5"/>
        <v>str_desc_ce_10005</v>
      </c>
    </row>
    <row r="27" spans="2:16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21</v>
      </c>
      <c r="F27" s="1" t="s">
        <v>16</v>
      </c>
      <c r="G27" s="1">
        <v>1</v>
      </c>
      <c r="H27">
        <v>14</v>
      </c>
      <c r="I27">
        <v>0.75</v>
      </c>
      <c r="J27" s="1">
        <v>0</v>
      </c>
      <c r="K27" t="str">
        <f t="shared" si="2"/>
        <v>Blue1</v>
      </c>
      <c r="L27" t="str">
        <f t="shared" si="3"/>
        <v>skill_10006</v>
      </c>
      <c r="M27" t="str">
        <f t="shared" si="4"/>
        <v>ce_10006</v>
      </c>
      <c r="N27" t="str">
        <f t="shared" si="5"/>
        <v>str_desc_ce_10006</v>
      </c>
      <c r="O27" t="s">
        <v>22</v>
      </c>
      <c r="P27">
        <v>250</v>
      </c>
    </row>
    <row r="28" spans="2:16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21</v>
      </c>
      <c r="F28" s="1" t="s">
        <v>16</v>
      </c>
      <c r="G28" s="1">
        <v>2</v>
      </c>
      <c r="H28">
        <v>28</v>
      </c>
      <c r="I28">
        <v>0.75</v>
      </c>
      <c r="J28" s="1">
        <v>0</v>
      </c>
      <c r="K28" t="str">
        <f t="shared" si="2"/>
        <v>Blue1</v>
      </c>
      <c r="L28" t="str">
        <f t="shared" si="3"/>
        <v>skill_10006</v>
      </c>
      <c r="M28" t="str">
        <f t="shared" si="4"/>
        <v>ce_10006</v>
      </c>
      <c r="N28" t="str">
        <f t="shared" si="5"/>
        <v>str_desc_ce_10006</v>
      </c>
    </row>
    <row r="29" spans="2:16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21</v>
      </c>
      <c r="F29" s="1" t="s">
        <v>16</v>
      </c>
      <c r="G29" s="1">
        <v>3</v>
      </c>
      <c r="H29">
        <v>41</v>
      </c>
      <c r="I29">
        <v>0.75</v>
      </c>
      <c r="J29" s="1">
        <v>0</v>
      </c>
      <c r="K29" t="str">
        <f t="shared" si="2"/>
        <v>Blue1</v>
      </c>
      <c r="L29" t="str">
        <f t="shared" si="3"/>
        <v>skill_10006</v>
      </c>
      <c r="M29" t="str">
        <f t="shared" si="4"/>
        <v>ce_10006</v>
      </c>
      <c r="N29" t="str">
        <f t="shared" si="5"/>
        <v>str_desc_ce_10006</v>
      </c>
    </row>
    <row r="30" spans="2:16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21</v>
      </c>
      <c r="F30" s="1" t="s">
        <v>16</v>
      </c>
      <c r="G30" s="1">
        <v>4</v>
      </c>
      <c r="H30">
        <v>54</v>
      </c>
      <c r="I30">
        <v>0.75</v>
      </c>
      <c r="J30" s="1">
        <v>0</v>
      </c>
      <c r="K30" t="str">
        <f t="shared" si="2"/>
        <v>Blue1</v>
      </c>
      <c r="L30" t="str">
        <f t="shared" si="3"/>
        <v>skill_10006</v>
      </c>
      <c r="M30" t="str">
        <f t="shared" si="4"/>
        <v>ce_10006</v>
      </c>
      <c r="N30" t="str">
        <f t="shared" si="5"/>
        <v>str_desc_ce_10006</v>
      </c>
    </row>
    <row r="31" spans="2:16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21</v>
      </c>
      <c r="F31" s="1" t="s">
        <v>16</v>
      </c>
      <c r="G31" s="1">
        <v>5</v>
      </c>
      <c r="H31">
        <v>67</v>
      </c>
      <c r="I31">
        <v>0.75</v>
      </c>
      <c r="J31" s="1">
        <v>0</v>
      </c>
      <c r="K31" t="str">
        <f t="shared" si="2"/>
        <v>Blue1</v>
      </c>
      <c r="L31" t="str">
        <f t="shared" si="3"/>
        <v>skill_10006</v>
      </c>
      <c r="M31" t="str">
        <f t="shared" si="4"/>
        <v>ce_10006</v>
      </c>
      <c r="N31" t="str">
        <f t="shared" si="5"/>
        <v>str_desc_ce_10006</v>
      </c>
    </row>
    <row r="32" spans="2:16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27</v>
      </c>
      <c r="F32" s="1" t="s">
        <v>15</v>
      </c>
      <c r="G32" s="1">
        <v>1</v>
      </c>
      <c r="H32">
        <v>12</v>
      </c>
      <c r="I32">
        <v>0.85</v>
      </c>
      <c r="J32" s="1">
        <v>0</v>
      </c>
      <c r="K32" t="str">
        <f t="shared" si="2"/>
        <v>Green1</v>
      </c>
      <c r="L32" t="str">
        <f t="shared" si="3"/>
        <v>skill_10007</v>
      </c>
      <c r="M32" t="str">
        <f t="shared" si="4"/>
        <v>ce_10007</v>
      </c>
      <c r="N32" t="str">
        <f t="shared" si="5"/>
        <v>str_desc_ce_10007</v>
      </c>
      <c r="O32" t="s">
        <v>22</v>
      </c>
      <c r="P32">
        <v>250</v>
      </c>
    </row>
    <row r="33" spans="2:16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27</v>
      </c>
      <c r="F33" s="1" t="s">
        <v>15</v>
      </c>
      <c r="G33" s="1">
        <v>2</v>
      </c>
      <c r="H33">
        <v>24</v>
      </c>
      <c r="I33">
        <v>0.85</v>
      </c>
      <c r="J33" s="1">
        <v>0</v>
      </c>
      <c r="K33" t="str">
        <f t="shared" si="2"/>
        <v>Green1</v>
      </c>
      <c r="L33" t="str">
        <f t="shared" si="3"/>
        <v>skill_10007</v>
      </c>
      <c r="M33" t="str">
        <f t="shared" si="4"/>
        <v>ce_10007</v>
      </c>
      <c r="N33" t="str">
        <f t="shared" si="5"/>
        <v>str_desc_ce_10007</v>
      </c>
    </row>
    <row r="34" spans="2:16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27</v>
      </c>
      <c r="F34" s="1" t="s">
        <v>15</v>
      </c>
      <c r="G34" s="1">
        <v>3</v>
      </c>
      <c r="H34">
        <v>36</v>
      </c>
      <c r="I34">
        <v>0.85</v>
      </c>
      <c r="J34" s="1">
        <v>0</v>
      </c>
      <c r="K34" t="str">
        <f t="shared" si="2"/>
        <v>Green1</v>
      </c>
      <c r="L34" t="str">
        <f t="shared" si="3"/>
        <v>skill_10007</v>
      </c>
      <c r="M34" t="str">
        <f t="shared" si="4"/>
        <v>ce_10007</v>
      </c>
      <c r="N34" t="str">
        <f t="shared" si="5"/>
        <v>str_desc_ce_10007</v>
      </c>
    </row>
    <row r="35" spans="2:16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27</v>
      </c>
      <c r="F35" s="1" t="s">
        <v>15</v>
      </c>
      <c r="G35" s="1">
        <v>4</v>
      </c>
      <c r="H35">
        <v>47</v>
      </c>
      <c r="I35">
        <v>0.85</v>
      </c>
      <c r="J35" s="1">
        <v>0</v>
      </c>
      <c r="K35" t="str">
        <f t="shared" si="2"/>
        <v>Green1</v>
      </c>
      <c r="L35" t="str">
        <f t="shared" si="3"/>
        <v>skill_10007</v>
      </c>
      <c r="M35" t="str">
        <f t="shared" si="4"/>
        <v>ce_10007</v>
      </c>
      <c r="N35" t="str">
        <f t="shared" si="5"/>
        <v>str_desc_ce_10007</v>
      </c>
    </row>
    <row r="36" spans="2:16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27</v>
      </c>
      <c r="F36" s="1" t="s">
        <v>15</v>
      </c>
      <c r="G36" s="1">
        <v>5</v>
      </c>
      <c r="H36">
        <v>59</v>
      </c>
      <c r="I36">
        <v>0.85</v>
      </c>
      <c r="J36" s="1">
        <v>0</v>
      </c>
      <c r="K36" t="str">
        <f t="shared" si="2"/>
        <v>Green1</v>
      </c>
      <c r="L36" t="str">
        <f t="shared" si="3"/>
        <v>skill_10007</v>
      </c>
      <c r="M36" t="str">
        <f t="shared" si="4"/>
        <v>ce_10007</v>
      </c>
      <c r="N36" t="str">
        <f t="shared" si="5"/>
        <v>str_desc_ce_10007</v>
      </c>
    </row>
    <row r="37" spans="2:16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28</v>
      </c>
      <c r="F37" s="1" t="s">
        <v>14</v>
      </c>
      <c r="G37" s="1">
        <v>1</v>
      </c>
      <c r="H37">
        <v>12</v>
      </c>
      <c r="I37">
        <v>0.85</v>
      </c>
      <c r="J37" s="1">
        <v>0</v>
      </c>
      <c r="K37" t="str">
        <f t="shared" si="2"/>
        <v>Red1</v>
      </c>
      <c r="L37" t="str">
        <f t="shared" si="3"/>
        <v>skill_10008</v>
      </c>
      <c r="M37" t="str">
        <f t="shared" si="4"/>
        <v>ce_10008</v>
      </c>
      <c r="N37" t="str">
        <f t="shared" si="5"/>
        <v>str_desc_ce_10008</v>
      </c>
      <c r="O37" t="s">
        <v>22</v>
      </c>
      <c r="P37">
        <v>250</v>
      </c>
    </row>
    <row r="38" spans="2:16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28</v>
      </c>
      <c r="F38" s="1" t="s">
        <v>14</v>
      </c>
      <c r="G38" s="1">
        <v>2</v>
      </c>
      <c r="H38">
        <v>24</v>
      </c>
      <c r="I38">
        <v>0.85</v>
      </c>
      <c r="J38" s="1">
        <v>0</v>
      </c>
      <c r="K38" t="str">
        <f t="shared" si="2"/>
        <v>Red1</v>
      </c>
      <c r="L38" t="str">
        <f t="shared" si="3"/>
        <v>skill_10008</v>
      </c>
      <c r="M38" t="str">
        <f t="shared" si="4"/>
        <v>ce_10008</v>
      </c>
      <c r="N38" t="str">
        <f t="shared" si="5"/>
        <v>str_desc_ce_10008</v>
      </c>
    </row>
    <row r="39" spans="2:16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28</v>
      </c>
      <c r="F39" s="1" t="s">
        <v>14</v>
      </c>
      <c r="G39" s="1">
        <v>3</v>
      </c>
      <c r="H39">
        <v>36</v>
      </c>
      <c r="I39">
        <v>0.85</v>
      </c>
      <c r="J39" s="1">
        <v>0</v>
      </c>
      <c r="K39" t="str">
        <f t="shared" si="2"/>
        <v>Red1</v>
      </c>
      <c r="L39" t="str">
        <f t="shared" si="3"/>
        <v>skill_10008</v>
      </c>
      <c r="M39" t="str">
        <f t="shared" si="4"/>
        <v>ce_10008</v>
      </c>
      <c r="N39" t="str">
        <f t="shared" si="5"/>
        <v>str_desc_ce_10008</v>
      </c>
    </row>
    <row r="40" spans="2:16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28</v>
      </c>
      <c r="F40" s="1" t="s">
        <v>14</v>
      </c>
      <c r="G40" s="1">
        <v>4</v>
      </c>
      <c r="H40">
        <v>47</v>
      </c>
      <c r="I40">
        <v>0.85</v>
      </c>
      <c r="J40" s="1">
        <v>0</v>
      </c>
      <c r="K40" t="str">
        <f t="shared" si="2"/>
        <v>Red1</v>
      </c>
      <c r="L40" t="str">
        <f t="shared" si="3"/>
        <v>skill_10008</v>
      </c>
      <c r="M40" t="str">
        <f t="shared" si="4"/>
        <v>ce_10008</v>
      </c>
      <c r="N40" t="str">
        <f t="shared" si="5"/>
        <v>str_desc_ce_10008</v>
      </c>
    </row>
    <row r="41" spans="2:16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28</v>
      </c>
      <c r="F41" s="1" t="s">
        <v>14</v>
      </c>
      <c r="G41" s="1">
        <v>5</v>
      </c>
      <c r="H41">
        <v>59</v>
      </c>
      <c r="I41">
        <v>0.85</v>
      </c>
      <c r="J41" s="1">
        <v>0</v>
      </c>
      <c r="K41" t="str">
        <f t="shared" si="2"/>
        <v>Red1</v>
      </c>
      <c r="L41" t="str">
        <f t="shared" si="3"/>
        <v>skill_10008</v>
      </c>
      <c r="M41" t="str">
        <f t="shared" si="4"/>
        <v>ce_10008</v>
      </c>
      <c r="N41" t="str">
        <f t="shared" si="5"/>
        <v>str_desc_ce_10008</v>
      </c>
    </row>
    <row r="42" spans="2:16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29</v>
      </c>
      <c r="F42" s="1" t="s">
        <v>15</v>
      </c>
      <c r="G42" s="1">
        <v>1</v>
      </c>
      <c r="H42">
        <v>10</v>
      </c>
      <c r="I42">
        <v>1</v>
      </c>
      <c r="J42" s="1">
        <v>0</v>
      </c>
      <c r="K42" t="str">
        <f t="shared" si="2"/>
        <v>Green1</v>
      </c>
      <c r="L42" t="str">
        <f t="shared" si="3"/>
        <v>skill_10009</v>
      </c>
      <c r="M42" t="str">
        <f t="shared" si="4"/>
        <v>ce_10009</v>
      </c>
      <c r="N42" t="str">
        <f t="shared" si="5"/>
        <v>str_desc_ce_10009</v>
      </c>
      <c r="O42" t="s">
        <v>22</v>
      </c>
      <c r="P42">
        <v>250</v>
      </c>
    </row>
    <row r="43" spans="2:16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29</v>
      </c>
      <c r="F43" s="1" t="s">
        <v>15</v>
      </c>
      <c r="G43" s="1">
        <v>2</v>
      </c>
      <c r="H43">
        <v>20</v>
      </c>
      <c r="I43">
        <v>1</v>
      </c>
      <c r="J43" s="1">
        <v>0</v>
      </c>
      <c r="K43" t="str">
        <f t="shared" si="2"/>
        <v>Green1</v>
      </c>
      <c r="L43" t="str">
        <f t="shared" si="3"/>
        <v>skill_10009</v>
      </c>
      <c r="M43" t="str">
        <f t="shared" si="4"/>
        <v>ce_10009</v>
      </c>
      <c r="N43" t="str">
        <f t="shared" si="5"/>
        <v>str_desc_ce_10009</v>
      </c>
    </row>
    <row r="44" spans="2:16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29</v>
      </c>
      <c r="F44" s="1" t="s">
        <v>15</v>
      </c>
      <c r="G44" s="1">
        <v>3</v>
      </c>
      <c r="H44">
        <v>30</v>
      </c>
      <c r="I44">
        <v>1</v>
      </c>
      <c r="J44" s="1">
        <v>0</v>
      </c>
      <c r="K44" t="str">
        <f t="shared" si="2"/>
        <v>Green1</v>
      </c>
      <c r="L44" t="str">
        <f t="shared" si="3"/>
        <v>skill_10009</v>
      </c>
      <c r="M44" t="str">
        <f t="shared" si="4"/>
        <v>ce_10009</v>
      </c>
      <c r="N44" t="str">
        <f t="shared" si="5"/>
        <v>str_desc_ce_10009</v>
      </c>
    </row>
    <row r="45" spans="2:16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29</v>
      </c>
      <c r="F45" s="1" t="s">
        <v>15</v>
      </c>
      <c r="G45" s="1">
        <v>4</v>
      </c>
      <c r="H45">
        <v>40</v>
      </c>
      <c r="I45">
        <v>1</v>
      </c>
      <c r="J45" s="1">
        <v>0</v>
      </c>
      <c r="K45" t="str">
        <f t="shared" si="2"/>
        <v>Green1</v>
      </c>
      <c r="L45" t="str">
        <f t="shared" si="3"/>
        <v>skill_10009</v>
      </c>
      <c r="M45" t="str">
        <f t="shared" si="4"/>
        <v>ce_10009</v>
      </c>
      <c r="N45" t="str">
        <f t="shared" si="5"/>
        <v>str_desc_ce_10009</v>
      </c>
    </row>
    <row r="46" spans="2:16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29</v>
      </c>
      <c r="F46" s="1" t="s">
        <v>15</v>
      </c>
      <c r="G46" s="1">
        <v>5</v>
      </c>
      <c r="H46">
        <v>50</v>
      </c>
      <c r="I46">
        <v>1</v>
      </c>
      <c r="J46" s="1">
        <v>0</v>
      </c>
      <c r="K46" t="str">
        <f t="shared" si="2"/>
        <v>Green1</v>
      </c>
      <c r="L46" t="str">
        <f t="shared" si="3"/>
        <v>skill_10009</v>
      </c>
      <c r="M46" t="str">
        <f t="shared" si="4"/>
        <v>ce_10009</v>
      </c>
      <c r="N46" t="str">
        <f t="shared" si="5"/>
        <v>str_desc_ce_10009</v>
      </c>
    </row>
    <row r="47" spans="2:16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30</v>
      </c>
      <c r="F47" s="1" t="s">
        <v>14</v>
      </c>
      <c r="G47" s="1">
        <v>1</v>
      </c>
      <c r="H47">
        <v>14</v>
      </c>
      <c r="I47">
        <v>0.75</v>
      </c>
      <c r="J47" s="1">
        <v>0</v>
      </c>
      <c r="K47" t="str">
        <f t="shared" si="2"/>
        <v>Red1</v>
      </c>
      <c r="L47" t="str">
        <f t="shared" si="3"/>
        <v>skill_10010</v>
      </c>
      <c r="M47" t="str">
        <f t="shared" si="4"/>
        <v>ce_10010</v>
      </c>
      <c r="N47" t="str">
        <f t="shared" si="5"/>
        <v>str_desc_ce_10010</v>
      </c>
      <c r="O47" t="s">
        <v>22</v>
      </c>
      <c r="P47">
        <v>250</v>
      </c>
    </row>
    <row r="48" spans="2:16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30</v>
      </c>
      <c r="F48" s="1" t="s">
        <v>14</v>
      </c>
      <c r="G48" s="1">
        <v>2</v>
      </c>
      <c r="H48">
        <v>28</v>
      </c>
      <c r="I48">
        <v>0.75</v>
      </c>
      <c r="J48" s="1">
        <v>0</v>
      </c>
      <c r="K48" t="str">
        <f t="shared" si="2"/>
        <v>Red1</v>
      </c>
      <c r="L48" t="str">
        <f t="shared" si="3"/>
        <v>skill_10010</v>
      </c>
      <c r="M48" t="str">
        <f t="shared" si="4"/>
        <v>ce_10010</v>
      </c>
      <c r="N48" t="str">
        <f t="shared" si="5"/>
        <v>str_desc_ce_10010</v>
      </c>
    </row>
    <row r="49" spans="2:16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30</v>
      </c>
      <c r="F49" s="1" t="s">
        <v>14</v>
      </c>
      <c r="G49" s="1">
        <v>3</v>
      </c>
      <c r="H49">
        <v>41</v>
      </c>
      <c r="I49">
        <v>0.75</v>
      </c>
      <c r="J49" s="1">
        <v>0</v>
      </c>
      <c r="K49" t="str">
        <f t="shared" si="2"/>
        <v>Red1</v>
      </c>
      <c r="L49" t="str">
        <f t="shared" si="3"/>
        <v>skill_10010</v>
      </c>
      <c r="M49" t="str">
        <f t="shared" si="4"/>
        <v>ce_10010</v>
      </c>
      <c r="N49" t="str">
        <f t="shared" si="5"/>
        <v>str_desc_ce_10010</v>
      </c>
    </row>
    <row r="50" spans="2:16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30</v>
      </c>
      <c r="F50" s="1" t="s">
        <v>14</v>
      </c>
      <c r="G50" s="1">
        <v>4</v>
      </c>
      <c r="H50">
        <v>54</v>
      </c>
      <c r="I50">
        <v>0.75</v>
      </c>
      <c r="J50" s="1">
        <v>0</v>
      </c>
      <c r="K50" t="str">
        <f t="shared" si="2"/>
        <v>Red1</v>
      </c>
      <c r="L50" t="str">
        <f t="shared" si="3"/>
        <v>skill_10010</v>
      </c>
      <c r="M50" t="str">
        <f t="shared" si="4"/>
        <v>ce_10010</v>
      </c>
      <c r="N50" t="str">
        <f t="shared" si="5"/>
        <v>str_desc_ce_10010</v>
      </c>
    </row>
    <row r="51" spans="2:16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30</v>
      </c>
      <c r="F51" s="1" t="s">
        <v>14</v>
      </c>
      <c r="G51" s="1">
        <v>5</v>
      </c>
      <c r="H51">
        <v>67</v>
      </c>
      <c r="I51">
        <v>0.75</v>
      </c>
      <c r="J51" s="1">
        <v>0</v>
      </c>
      <c r="K51" t="str">
        <f t="shared" si="2"/>
        <v>Red1</v>
      </c>
      <c r="L51" t="str">
        <f t="shared" si="3"/>
        <v>skill_10010</v>
      </c>
      <c r="M51" t="str">
        <f t="shared" si="4"/>
        <v>ce_10010</v>
      </c>
      <c r="N51" t="str">
        <f t="shared" si="5"/>
        <v>str_desc_ce_10010</v>
      </c>
    </row>
    <row r="52" spans="2:16" x14ac:dyDescent="0.4">
      <c r="B52" s="1">
        <v>10011</v>
      </c>
      <c r="C52" s="1" t="str">
        <f t="shared" ref="C52:C86" si="6">"str_name_"&amp;B52</f>
        <v>str_name_10011</v>
      </c>
      <c r="D52" s="1" t="str">
        <f t="shared" ref="D52:D86" si="7">"str_desc_"&amp;B52</f>
        <v>str_desc_10011</v>
      </c>
      <c r="E52" s="1" t="s">
        <v>60</v>
      </c>
      <c r="F52" s="1" t="s">
        <v>15</v>
      </c>
      <c r="G52" s="1">
        <v>2</v>
      </c>
      <c r="H52">
        <v>20</v>
      </c>
      <c r="I52">
        <v>1</v>
      </c>
      <c r="J52" s="1">
        <v>0</v>
      </c>
      <c r="K52" t="str">
        <f t="shared" ref="K52:K86" si="8">F52&amp;"1"</f>
        <v>Green1</v>
      </c>
      <c r="L52" t="str">
        <f t="shared" ref="L52:L86" si="9">"skill_"&amp;B52</f>
        <v>skill_10011</v>
      </c>
      <c r="M52" t="str">
        <f t="shared" si="4"/>
        <v>ce_10011</v>
      </c>
      <c r="N52" t="str">
        <f t="shared" ref="N52:N86" si="10">"str_desc_ce_"&amp;B52</f>
        <v>str_desc_ce_10011</v>
      </c>
      <c r="O52" t="s">
        <v>22</v>
      </c>
      <c r="P52">
        <v>500</v>
      </c>
    </row>
    <row r="53" spans="2:16" x14ac:dyDescent="0.4">
      <c r="B53" s="1">
        <v>10011</v>
      </c>
      <c r="C53" s="1" t="str">
        <f t="shared" si="6"/>
        <v>str_name_10011</v>
      </c>
      <c r="D53" s="1" t="str">
        <f t="shared" si="7"/>
        <v>str_desc_10011</v>
      </c>
      <c r="E53" s="1" t="s">
        <v>60</v>
      </c>
      <c r="F53" s="1" t="s">
        <v>15</v>
      </c>
      <c r="G53" s="1">
        <v>3</v>
      </c>
      <c r="H53">
        <v>30</v>
      </c>
      <c r="I53">
        <v>1</v>
      </c>
      <c r="J53" s="1">
        <v>0</v>
      </c>
      <c r="K53" t="str">
        <f t="shared" si="8"/>
        <v>Green1</v>
      </c>
      <c r="L53" t="str">
        <f t="shared" si="9"/>
        <v>skill_10011</v>
      </c>
      <c r="M53" t="str">
        <f t="shared" si="4"/>
        <v>ce_10011</v>
      </c>
      <c r="N53" t="str">
        <f t="shared" si="10"/>
        <v>str_desc_ce_10011</v>
      </c>
    </row>
    <row r="54" spans="2:16" x14ac:dyDescent="0.4">
      <c r="B54" s="1">
        <v>10011</v>
      </c>
      <c r="C54" s="1" t="str">
        <f t="shared" si="6"/>
        <v>str_name_10011</v>
      </c>
      <c r="D54" s="1" t="str">
        <f t="shared" si="7"/>
        <v>str_desc_10011</v>
      </c>
      <c r="E54" s="1" t="s">
        <v>60</v>
      </c>
      <c r="F54" s="1" t="s">
        <v>15</v>
      </c>
      <c r="G54" s="1">
        <v>4</v>
      </c>
      <c r="H54">
        <v>40</v>
      </c>
      <c r="I54">
        <v>1</v>
      </c>
      <c r="J54" s="1">
        <v>0</v>
      </c>
      <c r="K54" t="str">
        <f t="shared" si="8"/>
        <v>Green1</v>
      </c>
      <c r="L54" t="str">
        <f t="shared" si="9"/>
        <v>skill_10011</v>
      </c>
      <c r="M54" t="str">
        <f t="shared" si="4"/>
        <v>ce_10011</v>
      </c>
      <c r="N54" t="str">
        <f t="shared" si="10"/>
        <v>str_desc_ce_10011</v>
      </c>
    </row>
    <row r="55" spans="2:16" x14ac:dyDescent="0.4">
      <c r="B55" s="1">
        <v>10011</v>
      </c>
      <c r="C55" s="1" t="str">
        <f t="shared" si="6"/>
        <v>str_name_10011</v>
      </c>
      <c r="D55" s="1" t="str">
        <f t="shared" si="7"/>
        <v>str_desc_10011</v>
      </c>
      <c r="E55" s="1" t="s">
        <v>60</v>
      </c>
      <c r="F55" s="1" t="s">
        <v>15</v>
      </c>
      <c r="G55" s="1">
        <v>5</v>
      </c>
      <c r="H55">
        <v>50</v>
      </c>
      <c r="I55">
        <v>1</v>
      </c>
      <c r="J55" s="1">
        <v>0</v>
      </c>
      <c r="K55" t="str">
        <f t="shared" si="8"/>
        <v>Green1</v>
      </c>
      <c r="L55" t="str">
        <f t="shared" si="9"/>
        <v>skill_10011</v>
      </c>
      <c r="M55" t="str">
        <f t="shared" si="4"/>
        <v>ce_10011</v>
      </c>
      <c r="N55" t="str">
        <f t="shared" si="10"/>
        <v>str_desc_ce_10011</v>
      </c>
    </row>
    <row r="56" spans="2:16" x14ac:dyDescent="0.4">
      <c r="B56" s="1">
        <v>10012</v>
      </c>
      <c r="C56" s="1" t="str">
        <f t="shared" si="6"/>
        <v>str_name_10012</v>
      </c>
      <c r="D56" s="1" t="str">
        <f t="shared" si="7"/>
        <v>str_desc_10012</v>
      </c>
      <c r="E56" s="1" t="s">
        <v>61</v>
      </c>
      <c r="F56" s="1" t="s">
        <v>16</v>
      </c>
      <c r="G56" s="1">
        <v>2</v>
      </c>
      <c r="H56">
        <v>20</v>
      </c>
      <c r="I56">
        <v>1.25</v>
      </c>
      <c r="J56" s="1">
        <v>0</v>
      </c>
      <c r="K56" t="str">
        <f t="shared" si="8"/>
        <v>Blue1</v>
      </c>
      <c r="L56" t="str">
        <f t="shared" si="9"/>
        <v>skill_10012</v>
      </c>
      <c r="M56" t="str">
        <f t="shared" si="4"/>
        <v>ce_10012</v>
      </c>
      <c r="N56" t="str">
        <f t="shared" si="10"/>
        <v>str_desc_ce_10012</v>
      </c>
      <c r="O56" t="s">
        <v>22</v>
      </c>
      <c r="P56">
        <v>500</v>
      </c>
    </row>
    <row r="57" spans="2:16" x14ac:dyDescent="0.4">
      <c r="B57" s="1">
        <v>10012</v>
      </c>
      <c r="C57" s="1" t="str">
        <f t="shared" si="6"/>
        <v>str_name_10012</v>
      </c>
      <c r="D57" s="1" t="str">
        <f t="shared" si="7"/>
        <v>str_desc_10012</v>
      </c>
      <c r="E57" s="1" t="s">
        <v>61</v>
      </c>
      <c r="F57" s="1" t="s">
        <v>16</v>
      </c>
      <c r="G57" s="1">
        <v>3</v>
      </c>
      <c r="H57">
        <v>30</v>
      </c>
      <c r="I57">
        <v>1.5</v>
      </c>
      <c r="J57" s="1">
        <v>0</v>
      </c>
      <c r="K57" t="str">
        <f t="shared" si="8"/>
        <v>Blue1</v>
      </c>
      <c r="L57" t="str">
        <f t="shared" si="9"/>
        <v>skill_10012</v>
      </c>
      <c r="M57" t="str">
        <f t="shared" si="4"/>
        <v>ce_10012</v>
      </c>
      <c r="N57" t="str">
        <f t="shared" si="10"/>
        <v>str_desc_ce_10012</v>
      </c>
    </row>
    <row r="58" spans="2:16" x14ac:dyDescent="0.4">
      <c r="B58" s="1">
        <v>10012</v>
      </c>
      <c r="C58" s="1" t="str">
        <f t="shared" si="6"/>
        <v>str_name_10012</v>
      </c>
      <c r="D58" s="1" t="str">
        <f t="shared" si="7"/>
        <v>str_desc_10012</v>
      </c>
      <c r="E58" s="1" t="s">
        <v>61</v>
      </c>
      <c r="F58" s="1" t="s">
        <v>16</v>
      </c>
      <c r="G58" s="1">
        <v>4</v>
      </c>
      <c r="H58">
        <v>40</v>
      </c>
      <c r="I58">
        <v>1.8</v>
      </c>
      <c r="J58" s="1">
        <v>0</v>
      </c>
      <c r="K58" t="str">
        <f t="shared" si="8"/>
        <v>Blue1</v>
      </c>
      <c r="L58" t="str">
        <f t="shared" si="9"/>
        <v>skill_10012</v>
      </c>
      <c r="M58" t="str">
        <f t="shared" si="4"/>
        <v>ce_10012</v>
      </c>
      <c r="N58" t="str">
        <f t="shared" si="10"/>
        <v>str_desc_ce_10012</v>
      </c>
    </row>
    <row r="59" spans="2:16" x14ac:dyDescent="0.4">
      <c r="B59" s="1">
        <v>10012</v>
      </c>
      <c r="C59" s="1" t="str">
        <f t="shared" si="6"/>
        <v>str_name_10012</v>
      </c>
      <c r="D59" s="1" t="str">
        <f t="shared" si="7"/>
        <v>str_desc_10012</v>
      </c>
      <c r="E59" s="1" t="s">
        <v>61</v>
      </c>
      <c r="F59" s="1" t="s">
        <v>16</v>
      </c>
      <c r="G59" s="1">
        <v>5</v>
      </c>
      <c r="H59">
        <v>50</v>
      </c>
      <c r="I59">
        <v>2</v>
      </c>
      <c r="J59" s="1">
        <v>0</v>
      </c>
      <c r="K59" t="str">
        <f t="shared" si="8"/>
        <v>Blue1</v>
      </c>
      <c r="L59" t="str">
        <f t="shared" si="9"/>
        <v>skill_10012</v>
      </c>
      <c r="M59" t="str">
        <f t="shared" si="4"/>
        <v>ce_10012</v>
      </c>
      <c r="N59" t="str">
        <f t="shared" si="10"/>
        <v>str_desc_ce_10012</v>
      </c>
    </row>
    <row r="60" spans="2:16" x14ac:dyDescent="0.4">
      <c r="B60" s="1">
        <v>10013</v>
      </c>
      <c r="C60" s="1" t="str">
        <f t="shared" si="6"/>
        <v>str_name_10013</v>
      </c>
      <c r="D60" s="1" t="str">
        <f t="shared" si="7"/>
        <v>str_desc_10013</v>
      </c>
      <c r="E60" s="1" t="s">
        <v>69</v>
      </c>
      <c r="F60" s="1" t="s">
        <v>14</v>
      </c>
      <c r="G60" s="1">
        <v>2</v>
      </c>
      <c r="H60">
        <v>20</v>
      </c>
      <c r="I60">
        <v>0.6</v>
      </c>
      <c r="J60" s="1">
        <v>0</v>
      </c>
      <c r="K60" t="str">
        <f t="shared" si="8"/>
        <v>Red1</v>
      </c>
      <c r="L60" t="str">
        <f t="shared" si="9"/>
        <v>skill_10013</v>
      </c>
      <c r="M60" t="str">
        <f t="shared" si="4"/>
        <v>ce_10013</v>
      </c>
      <c r="N60" t="str">
        <f t="shared" si="10"/>
        <v>str_desc_ce_10013</v>
      </c>
      <c r="O60" t="s">
        <v>22</v>
      </c>
      <c r="P60">
        <v>500</v>
      </c>
    </row>
    <row r="61" spans="2:16" x14ac:dyDescent="0.4">
      <c r="B61" s="1">
        <v>10013</v>
      </c>
      <c r="C61" s="1" t="str">
        <f t="shared" si="6"/>
        <v>str_name_10013</v>
      </c>
      <c r="D61" s="1" t="str">
        <f t="shared" si="7"/>
        <v>str_desc_10013</v>
      </c>
      <c r="E61" s="1" t="s">
        <v>62</v>
      </c>
      <c r="F61" s="1" t="s">
        <v>14</v>
      </c>
      <c r="G61" s="1">
        <v>3</v>
      </c>
      <c r="H61">
        <v>30</v>
      </c>
      <c r="I61">
        <v>0.7</v>
      </c>
      <c r="J61" s="1">
        <v>0</v>
      </c>
      <c r="K61" t="str">
        <f t="shared" si="8"/>
        <v>Red1</v>
      </c>
      <c r="L61" t="str">
        <f t="shared" si="9"/>
        <v>skill_10013</v>
      </c>
      <c r="M61" t="str">
        <f t="shared" si="4"/>
        <v>ce_10013</v>
      </c>
      <c r="N61" t="str">
        <f t="shared" si="10"/>
        <v>str_desc_ce_10013</v>
      </c>
    </row>
    <row r="62" spans="2:16" x14ac:dyDescent="0.4">
      <c r="B62" s="1">
        <v>10013</v>
      </c>
      <c r="C62" s="1" t="str">
        <f t="shared" si="6"/>
        <v>str_name_10013</v>
      </c>
      <c r="D62" s="1" t="str">
        <f t="shared" si="7"/>
        <v>str_desc_10013</v>
      </c>
      <c r="E62" s="1" t="s">
        <v>62</v>
      </c>
      <c r="F62" s="1" t="s">
        <v>14</v>
      </c>
      <c r="G62" s="1">
        <v>4</v>
      </c>
      <c r="H62">
        <v>40</v>
      </c>
      <c r="I62">
        <v>0.8</v>
      </c>
      <c r="J62" s="1">
        <v>0</v>
      </c>
      <c r="K62" t="str">
        <f t="shared" si="8"/>
        <v>Red1</v>
      </c>
      <c r="L62" t="str">
        <f t="shared" si="9"/>
        <v>skill_10013</v>
      </c>
      <c r="M62" t="str">
        <f t="shared" si="4"/>
        <v>ce_10013</v>
      </c>
      <c r="N62" t="str">
        <f t="shared" si="10"/>
        <v>str_desc_ce_10013</v>
      </c>
    </row>
    <row r="63" spans="2:16" x14ac:dyDescent="0.4">
      <c r="B63" s="1">
        <v>10013</v>
      </c>
      <c r="C63" s="1" t="str">
        <f t="shared" si="6"/>
        <v>str_name_10013</v>
      </c>
      <c r="D63" s="1" t="str">
        <f t="shared" si="7"/>
        <v>str_desc_10013</v>
      </c>
      <c r="E63" s="1" t="s">
        <v>62</v>
      </c>
      <c r="F63" s="1" t="s">
        <v>14</v>
      </c>
      <c r="G63" s="1">
        <v>5</v>
      </c>
      <c r="H63">
        <v>50</v>
      </c>
      <c r="I63">
        <v>0.9</v>
      </c>
      <c r="J63" s="1">
        <v>0</v>
      </c>
      <c r="K63" t="str">
        <f t="shared" si="8"/>
        <v>Red1</v>
      </c>
      <c r="L63" t="str">
        <f t="shared" si="9"/>
        <v>skill_10013</v>
      </c>
      <c r="M63" t="str">
        <f t="shared" si="4"/>
        <v>ce_10013</v>
      </c>
      <c r="N63" t="str">
        <f t="shared" si="10"/>
        <v>str_desc_ce_10013</v>
      </c>
    </row>
    <row r="64" spans="2:16" x14ac:dyDescent="0.4">
      <c r="B64" s="1">
        <v>10014</v>
      </c>
      <c r="C64" s="1" t="str">
        <f t="shared" si="6"/>
        <v>str_name_10014</v>
      </c>
      <c r="D64" s="1" t="str">
        <f t="shared" si="7"/>
        <v>str_desc_10014</v>
      </c>
      <c r="E64" s="1" t="s">
        <v>63</v>
      </c>
      <c r="F64" s="1" t="s">
        <v>16</v>
      </c>
      <c r="G64" s="1">
        <v>2</v>
      </c>
      <c r="H64">
        <v>20</v>
      </c>
      <c r="I64">
        <v>0.75</v>
      </c>
      <c r="J64" s="1">
        <v>0</v>
      </c>
      <c r="K64" t="str">
        <f t="shared" si="8"/>
        <v>Blue1</v>
      </c>
      <c r="L64" t="str">
        <f t="shared" si="9"/>
        <v>skill_10014</v>
      </c>
      <c r="M64" t="str">
        <f t="shared" ref="M64:M86" si="11">"ce_"&amp;B64</f>
        <v>ce_10014</v>
      </c>
      <c r="N64" t="str">
        <f t="shared" si="10"/>
        <v>str_desc_ce_10014</v>
      </c>
      <c r="O64" t="s">
        <v>22</v>
      </c>
      <c r="P64">
        <v>500</v>
      </c>
    </row>
    <row r="65" spans="2:16" x14ac:dyDescent="0.4">
      <c r="B65" s="1">
        <v>10014</v>
      </c>
      <c r="C65" s="1" t="str">
        <f t="shared" si="6"/>
        <v>str_name_10014</v>
      </c>
      <c r="D65" s="1" t="str">
        <f t="shared" si="7"/>
        <v>str_desc_10014</v>
      </c>
      <c r="E65" s="1" t="s">
        <v>63</v>
      </c>
      <c r="F65" s="1" t="s">
        <v>16</v>
      </c>
      <c r="G65" s="1">
        <v>3</v>
      </c>
      <c r="H65">
        <v>30</v>
      </c>
      <c r="I65">
        <v>0.75</v>
      </c>
      <c r="J65" s="1">
        <v>0</v>
      </c>
      <c r="K65" t="str">
        <f t="shared" si="8"/>
        <v>Blue1</v>
      </c>
      <c r="L65" t="str">
        <f t="shared" si="9"/>
        <v>skill_10014</v>
      </c>
      <c r="M65" t="str">
        <f t="shared" si="11"/>
        <v>ce_10014</v>
      </c>
      <c r="N65" t="str">
        <f t="shared" si="10"/>
        <v>str_desc_ce_10014</v>
      </c>
    </row>
    <row r="66" spans="2:16" x14ac:dyDescent="0.4">
      <c r="B66" s="1">
        <v>10014</v>
      </c>
      <c r="C66" s="1" t="str">
        <f t="shared" si="6"/>
        <v>str_name_10014</v>
      </c>
      <c r="D66" s="1" t="str">
        <f t="shared" si="7"/>
        <v>str_desc_10014</v>
      </c>
      <c r="E66" s="1" t="s">
        <v>63</v>
      </c>
      <c r="F66" s="1" t="s">
        <v>16</v>
      </c>
      <c r="G66" s="1">
        <v>4</v>
      </c>
      <c r="H66">
        <v>40</v>
      </c>
      <c r="I66">
        <v>0.75</v>
      </c>
      <c r="J66" s="1">
        <v>0</v>
      </c>
      <c r="K66" t="str">
        <f t="shared" si="8"/>
        <v>Blue1</v>
      </c>
      <c r="L66" t="str">
        <f t="shared" si="9"/>
        <v>skill_10014</v>
      </c>
      <c r="M66" t="str">
        <f t="shared" si="11"/>
        <v>ce_10014</v>
      </c>
      <c r="N66" t="str">
        <f t="shared" si="10"/>
        <v>str_desc_ce_10014</v>
      </c>
    </row>
    <row r="67" spans="2:16" x14ac:dyDescent="0.4">
      <c r="B67" s="1">
        <v>10014</v>
      </c>
      <c r="C67" s="1" t="str">
        <f t="shared" si="6"/>
        <v>str_name_10014</v>
      </c>
      <c r="D67" s="1" t="str">
        <f t="shared" si="7"/>
        <v>str_desc_10014</v>
      </c>
      <c r="E67" s="1" t="s">
        <v>63</v>
      </c>
      <c r="F67" s="1" t="s">
        <v>16</v>
      </c>
      <c r="G67" s="1">
        <v>5</v>
      </c>
      <c r="H67">
        <v>50</v>
      </c>
      <c r="I67">
        <v>0.75</v>
      </c>
      <c r="J67" s="1">
        <v>0</v>
      </c>
      <c r="K67" t="str">
        <f t="shared" si="8"/>
        <v>Blue1</v>
      </c>
      <c r="L67" t="str">
        <f t="shared" si="9"/>
        <v>skill_10014</v>
      </c>
      <c r="M67" t="str">
        <f t="shared" si="11"/>
        <v>ce_10014</v>
      </c>
      <c r="N67" t="str">
        <f t="shared" si="10"/>
        <v>str_desc_ce_10014</v>
      </c>
    </row>
    <row r="68" spans="2:16" x14ac:dyDescent="0.4">
      <c r="B68" s="1">
        <v>10015</v>
      </c>
      <c r="C68" s="1" t="str">
        <f t="shared" si="6"/>
        <v>str_name_10015</v>
      </c>
      <c r="D68" s="1" t="str">
        <f t="shared" si="7"/>
        <v>str_desc_10015</v>
      </c>
      <c r="E68" s="1" t="s">
        <v>70</v>
      </c>
      <c r="F68" s="1" t="s">
        <v>14</v>
      </c>
      <c r="G68" s="1">
        <v>2</v>
      </c>
      <c r="H68">
        <v>20</v>
      </c>
      <c r="I68">
        <v>1</v>
      </c>
      <c r="J68" s="1">
        <v>0</v>
      </c>
      <c r="K68" t="str">
        <f t="shared" si="8"/>
        <v>Red1</v>
      </c>
      <c r="L68" t="str">
        <f t="shared" si="9"/>
        <v>skill_10015</v>
      </c>
      <c r="M68" t="str">
        <f t="shared" si="11"/>
        <v>ce_10015</v>
      </c>
      <c r="N68" t="str">
        <f t="shared" si="10"/>
        <v>str_desc_ce_10015</v>
      </c>
      <c r="O68" t="s">
        <v>22</v>
      </c>
      <c r="P68">
        <v>500</v>
      </c>
    </row>
    <row r="69" spans="2:16" x14ac:dyDescent="0.4">
      <c r="B69" s="1">
        <v>10015</v>
      </c>
      <c r="C69" s="1" t="str">
        <f t="shared" si="6"/>
        <v>str_name_10015</v>
      </c>
      <c r="D69" s="1" t="str">
        <f t="shared" si="7"/>
        <v>str_desc_10015</v>
      </c>
      <c r="E69" s="1" t="s">
        <v>70</v>
      </c>
      <c r="F69" s="1" t="s">
        <v>14</v>
      </c>
      <c r="G69" s="1">
        <v>3</v>
      </c>
      <c r="H69">
        <v>30</v>
      </c>
      <c r="I69">
        <v>1</v>
      </c>
      <c r="J69" s="1">
        <v>0</v>
      </c>
      <c r="K69" t="str">
        <f t="shared" si="8"/>
        <v>Red1</v>
      </c>
      <c r="L69" t="str">
        <f t="shared" si="9"/>
        <v>skill_10015</v>
      </c>
      <c r="M69" t="str">
        <f t="shared" si="11"/>
        <v>ce_10015</v>
      </c>
      <c r="N69" t="str">
        <f t="shared" si="10"/>
        <v>str_desc_ce_10015</v>
      </c>
    </row>
    <row r="70" spans="2:16" x14ac:dyDescent="0.4">
      <c r="B70" s="1">
        <v>10015</v>
      </c>
      <c r="C70" s="1" t="str">
        <f t="shared" si="6"/>
        <v>str_name_10015</v>
      </c>
      <c r="D70" s="1" t="str">
        <f t="shared" si="7"/>
        <v>str_desc_10015</v>
      </c>
      <c r="E70" s="1" t="s">
        <v>70</v>
      </c>
      <c r="F70" s="1" t="s">
        <v>14</v>
      </c>
      <c r="G70" s="1">
        <v>4</v>
      </c>
      <c r="H70">
        <v>40</v>
      </c>
      <c r="I70">
        <v>1</v>
      </c>
      <c r="J70" s="1">
        <v>0</v>
      </c>
      <c r="K70" t="str">
        <f t="shared" si="8"/>
        <v>Red1</v>
      </c>
      <c r="L70" t="str">
        <f t="shared" si="9"/>
        <v>skill_10015</v>
      </c>
      <c r="M70" t="str">
        <f t="shared" si="11"/>
        <v>ce_10015</v>
      </c>
      <c r="N70" t="str">
        <f t="shared" si="10"/>
        <v>str_desc_ce_10015</v>
      </c>
    </row>
    <row r="71" spans="2:16" x14ac:dyDescent="0.4">
      <c r="B71" s="1">
        <v>10015</v>
      </c>
      <c r="C71" s="1" t="str">
        <f t="shared" si="6"/>
        <v>str_name_10015</v>
      </c>
      <c r="D71" s="1" t="str">
        <f t="shared" si="7"/>
        <v>str_desc_10015</v>
      </c>
      <c r="E71" s="1" t="s">
        <v>70</v>
      </c>
      <c r="F71" s="1" t="s">
        <v>14</v>
      </c>
      <c r="G71" s="1">
        <v>5</v>
      </c>
      <c r="H71">
        <v>50</v>
      </c>
      <c r="I71">
        <v>1</v>
      </c>
      <c r="J71" s="1">
        <v>0</v>
      </c>
      <c r="K71" t="str">
        <f t="shared" si="8"/>
        <v>Red1</v>
      </c>
      <c r="L71" t="str">
        <f t="shared" si="9"/>
        <v>skill_10015</v>
      </c>
      <c r="M71" t="str">
        <f t="shared" si="11"/>
        <v>ce_10015</v>
      </c>
      <c r="N71" t="str">
        <f t="shared" si="10"/>
        <v>str_desc_ce_10015</v>
      </c>
    </row>
    <row r="72" spans="2:16" x14ac:dyDescent="0.4">
      <c r="B72" s="1">
        <v>10016</v>
      </c>
      <c r="C72" s="1" t="str">
        <f t="shared" si="6"/>
        <v>str_name_10016</v>
      </c>
      <c r="D72" s="1" t="str">
        <f t="shared" si="7"/>
        <v>str_desc_10016</v>
      </c>
      <c r="E72" s="1" t="s">
        <v>64</v>
      </c>
      <c r="F72" s="1" t="s">
        <v>15</v>
      </c>
      <c r="G72" s="1">
        <v>3</v>
      </c>
      <c r="H72">
        <v>30</v>
      </c>
      <c r="I72">
        <v>0.75</v>
      </c>
      <c r="J72" s="1">
        <v>0</v>
      </c>
      <c r="K72" t="str">
        <f t="shared" si="8"/>
        <v>Green1</v>
      </c>
      <c r="L72" t="str">
        <f t="shared" si="9"/>
        <v>skill_10016</v>
      </c>
      <c r="M72" t="str">
        <f t="shared" si="11"/>
        <v>ce_10016</v>
      </c>
      <c r="N72" t="str">
        <f t="shared" si="10"/>
        <v>str_desc_ce_10016</v>
      </c>
      <c r="O72" t="s">
        <v>22</v>
      </c>
      <c r="P72">
        <v>1000</v>
      </c>
    </row>
    <row r="73" spans="2:16" x14ac:dyDescent="0.4">
      <c r="B73" s="1">
        <v>10016</v>
      </c>
      <c r="C73" s="1" t="str">
        <f t="shared" si="6"/>
        <v>str_name_10016</v>
      </c>
      <c r="D73" s="1" t="str">
        <f t="shared" si="7"/>
        <v>str_desc_10016</v>
      </c>
      <c r="E73" s="1" t="s">
        <v>64</v>
      </c>
      <c r="F73" s="1" t="s">
        <v>15</v>
      </c>
      <c r="G73" s="1">
        <v>4</v>
      </c>
      <c r="H73">
        <v>40</v>
      </c>
      <c r="I73">
        <v>0.75</v>
      </c>
      <c r="J73" s="1">
        <v>0</v>
      </c>
      <c r="K73" t="str">
        <f t="shared" si="8"/>
        <v>Green1</v>
      </c>
      <c r="L73" t="str">
        <f t="shared" si="9"/>
        <v>skill_10016</v>
      </c>
      <c r="M73" t="str">
        <f t="shared" si="11"/>
        <v>ce_10016</v>
      </c>
      <c r="N73" t="str">
        <f t="shared" si="10"/>
        <v>str_desc_ce_10016</v>
      </c>
    </row>
    <row r="74" spans="2:16" x14ac:dyDescent="0.4">
      <c r="B74" s="1">
        <v>10016</v>
      </c>
      <c r="C74" s="1" t="str">
        <f t="shared" si="6"/>
        <v>str_name_10016</v>
      </c>
      <c r="D74" s="1" t="str">
        <f t="shared" si="7"/>
        <v>str_desc_10016</v>
      </c>
      <c r="E74" s="1" t="s">
        <v>64</v>
      </c>
      <c r="F74" s="1" t="s">
        <v>15</v>
      </c>
      <c r="G74" s="1">
        <v>5</v>
      </c>
      <c r="H74">
        <v>50</v>
      </c>
      <c r="I74">
        <v>0.75</v>
      </c>
      <c r="J74" s="1">
        <v>0</v>
      </c>
      <c r="K74" t="str">
        <f t="shared" si="8"/>
        <v>Green1</v>
      </c>
      <c r="L74" t="str">
        <f t="shared" si="9"/>
        <v>skill_10016</v>
      </c>
      <c r="M74" t="str">
        <f t="shared" si="11"/>
        <v>ce_10016</v>
      </c>
      <c r="N74" t="str">
        <f t="shared" si="10"/>
        <v>str_desc_ce_10016</v>
      </c>
    </row>
    <row r="75" spans="2:16" x14ac:dyDescent="0.4">
      <c r="B75" s="1">
        <v>10017</v>
      </c>
      <c r="C75" s="1" t="str">
        <f t="shared" si="6"/>
        <v>str_name_10017</v>
      </c>
      <c r="D75" s="1" t="str">
        <f t="shared" si="7"/>
        <v>str_desc_10017</v>
      </c>
      <c r="E75" s="1" t="s">
        <v>65</v>
      </c>
      <c r="F75" s="1" t="s">
        <v>16</v>
      </c>
      <c r="G75" s="1">
        <v>3</v>
      </c>
      <c r="H75">
        <v>30</v>
      </c>
      <c r="I75">
        <v>0.85</v>
      </c>
      <c r="J75" s="1">
        <v>0</v>
      </c>
      <c r="K75" t="str">
        <f t="shared" si="8"/>
        <v>Blue1</v>
      </c>
      <c r="L75" t="str">
        <f t="shared" si="9"/>
        <v>skill_10017</v>
      </c>
      <c r="M75" t="str">
        <f t="shared" si="11"/>
        <v>ce_10017</v>
      </c>
      <c r="N75" t="str">
        <f t="shared" si="10"/>
        <v>str_desc_ce_10017</v>
      </c>
      <c r="O75" t="s">
        <v>22</v>
      </c>
      <c r="P75">
        <v>1000</v>
      </c>
    </row>
    <row r="76" spans="2:16" x14ac:dyDescent="0.4">
      <c r="B76" s="1">
        <v>10017</v>
      </c>
      <c r="C76" s="1" t="str">
        <f t="shared" si="6"/>
        <v>str_name_10017</v>
      </c>
      <c r="D76" s="1" t="str">
        <f t="shared" si="7"/>
        <v>str_desc_10017</v>
      </c>
      <c r="E76" s="1" t="s">
        <v>65</v>
      </c>
      <c r="F76" s="1" t="s">
        <v>16</v>
      </c>
      <c r="G76" s="1">
        <v>4</v>
      </c>
      <c r="H76">
        <v>40</v>
      </c>
      <c r="I76">
        <v>0.85</v>
      </c>
      <c r="J76" s="1">
        <v>0</v>
      </c>
      <c r="K76" t="str">
        <f t="shared" si="8"/>
        <v>Blue1</v>
      </c>
      <c r="L76" t="str">
        <f t="shared" si="9"/>
        <v>skill_10017</v>
      </c>
      <c r="M76" t="str">
        <f t="shared" si="11"/>
        <v>ce_10017</v>
      </c>
      <c r="N76" t="str">
        <f t="shared" si="10"/>
        <v>str_desc_ce_10017</v>
      </c>
    </row>
    <row r="77" spans="2:16" x14ac:dyDescent="0.4">
      <c r="B77" s="1">
        <v>10017</v>
      </c>
      <c r="C77" s="1" t="str">
        <f t="shared" si="6"/>
        <v>str_name_10017</v>
      </c>
      <c r="D77" s="1" t="str">
        <f t="shared" si="7"/>
        <v>str_desc_10017</v>
      </c>
      <c r="E77" s="1" t="s">
        <v>65</v>
      </c>
      <c r="F77" s="1" t="s">
        <v>16</v>
      </c>
      <c r="G77" s="1">
        <v>5</v>
      </c>
      <c r="H77">
        <v>50</v>
      </c>
      <c r="I77">
        <v>0.85</v>
      </c>
      <c r="J77" s="1">
        <v>0</v>
      </c>
      <c r="K77" t="str">
        <f t="shared" si="8"/>
        <v>Blue1</v>
      </c>
      <c r="L77" t="str">
        <f t="shared" si="9"/>
        <v>skill_10017</v>
      </c>
      <c r="M77" t="str">
        <f t="shared" si="11"/>
        <v>ce_10017</v>
      </c>
      <c r="N77" t="str">
        <f t="shared" si="10"/>
        <v>str_desc_ce_10017</v>
      </c>
    </row>
    <row r="78" spans="2:16" x14ac:dyDescent="0.4">
      <c r="B78" s="1">
        <v>10018</v>
      </c>
      <c r="C78" s="1" t="str">
        <f t="shared" si="6"/>
        <v>str_name_10018</v>
      </c>
      <c r="D78" s="1" t="str">
        <f t="shared" si="7"/>
        <v>str_desc_10018</v>
      </c>
      <c r="E78" s="1" t="s">
        <v>66</v>
      </c>
      <c r="F78" s="1" t="s">
        <v>15</v>
      </c>
      <c r="G78" s="1">
        <v>3</v>
      </c>
      <c r="H78">
        <v>30</v>
      </c>
      <c r="I78">
        <v>0.85</v>
      </c>
      <c r="J78" s="1">
        <v>0</v>
      </c>
      <c r="K78" t="str">
        <f t="shared" si="8"/>
        <v>Green1</v>
      </c>
      <c r="L78" t="str">
        <f t="shared" si="9"/>
        <v>skill_10018</v>
      </c>
      <c r="M78" t="str">
        <f t="shared" si="11"/>
        <v>ce_10018</v>
      </c>
      <c r="N78" t="str">
        <f t="shared" si="10"/>
        <v>str_desc_ce_10018</v>
      </c>
      <c r="O78" t="s">
        <v>22</v>
      </c>
      <c r="P78">
        <v>1000</v>
      </c>
    </row>
    <row r="79" spans="2:16" x14ac:dyDescent="0.4">
      <c r="B79" s="1">
        <v>10018</v>
      </c>
      <c r="C79" s="1" t="str">
        <f t="shared" si="6"/>
        <v>str_name_10018</v>
      </c>
      <c r="D79" s="1" t="str">
        <f t="shared" si="7"/>
        <v>str_desc_10018</v>
      </c>
      <c r="E79" s="1" t="s">
        <v>66</v>
      </c>
      <c r="F79" s="1" t="s">
        <v>15</v>
      </c>
      <c r="G79" s="1">
        <v>4</v>
      </c>
      <c r="H79">
        <v>40</v>
      </c>
      <c r="I79">
        <v>0.85</v>
      </c>
      <c r="J79" s="1">
        <v>0</v>
      </c>
      <c r="K79" t="str">
        <f t="shared" si="8"/>
        <v>Green1</v>
      </c>
      <c r="L79" t="str">
        <f t="shared" si="9"/>
        <v>skill_10018</v>
      </c>
      <c r="M79" t="str">
        <f t="shared" si="11"/>
        <v>ce_10018</v>
      </c>
      <c r="N79" t="str">
        <f t="shared" si="10"/>
        <v>str_desc_ce_10018</v>
      </c>
    </row>
    <row r="80" spans="2:16" x14ac:dyDescent="0.4">
      <c r="B80" s="1">
        <v>10018</v>
      </c>
      <c r="C80" s="1" t="str">
        <f t="shared" si="6"/>
        <v>str_name_10018</v>
      </c>
      <c r="D80" s="1" t="str">
        <f t="shared" si="7"/>
        <v>str_desc_10018</v>
      </c>
      <c r="E80" s="1" t="s">
        <v>66</v>
      </c>
      <c r="F80" s="1" t="s">
        <v>15</v>
      </c>
      <c r="G80" s="1">
        <v>5</v>
      </c>
      <c r="H80">
        <v>50</v>
      </c>
      <c r="I80">
        <v>0.85</v>
      </c>
      <c r="J80" s="1">
        <v>0</v>
      </c>
      <c r="K80" t="str">
        <f t="shared" si="8"/>
        <v>Green1</v>
      </c>
      <c r="L80" t="str">
        <f t="shared" si="9"/>
        <v>skill_10018</v>
      </c>
      <c r="M80" t="str">
        <f t="shared" si="11"/>
        <v>ce_10018</v>
      </c>
      <c r="N80" t="str">
        <f t="shared" si="10"/>
        <v>str_desc_ce_10018</v>
      </c>
    </row>
    <row r="81" spans="2:16" x14ac:dyDescent="0.4">
      <c r="B81" s="1">
        <v>10019</v>
      </c>
      <c r="C81" s="1" t="str">
        <f t="shared" si="6"/>
        <v>str_name_10019</v>
      </c>
      <c r="D81" s="1" t="str">
        <f t="shared" si="7"/>
        <v>str_desc_10019</v>
      </c>
      <c r="E81" s="1" t="s">
        <v>67</v>
      </c>
      <c r="F81" s="1" t="s">
        <v>14</v>
      </c>
      <c r="G81" s="1">
        <v>3</v>
      </c>
      <c r="H81">
        <v>30</v>
      </c>
      <c r="I81">
        <v>1</v>
      </c>
      <c r="J81" s="1">
        <v>0</v>
      </c>
      <c r="K81" t="str">
        <f t="shared" si="8"/>
        <v>Red1</v>
      </c>
      <c r="L81" t="str">
        <f t="shared" si="9"/>
        <v>skill_10019</v>
      </c>
      <c r="M81" t="str">
        <f t="shared" si="11"/>
        <v>ce_10019</v>
      </c>
      <c r="N81" t="str">
        <f t="shared" si="10"/>
        <v>str_desc_ce_10019</v>
      </c>
      <c r="O81" t="s">
        <v>22</v>
      </c>
      <c r="P81">
        <v>1000</v>
      </c>
    </row>
    <row r="82" spans="2:16" x14ac:dyDescent="0.4">
      <c r="B82" s="1">
        <v>10019</v>
      </c>
      <c r="C82" s="1" t="str">
        <f t="shared" si="6"/>
        <v>str_name_10019</v>
      </c>
      <c r="D82" s="1" t="str">
        <f t="shared" si="7"/>
        <v>str_desc_10019</v>
      </c>
      <c r="E82" s="1" t="s">
        <v>67</v>
      </c>
      <c r="F82" s="1" t="s">
        <v>14</v>
      </c>
      <c r="G82" s="1">
        <v>4</v>
      </c>
      <c r="H82">
        <v>40</v>
      </c>
      <c r="I82">
        <v>1</v>
      </c>
      <c r="J82" s="1">
        <v>0</v>
      </c>
      <c r="K82" t="str">
        <f t="shared" si="8"/>
        <v>Red1</v>
      </c>
      <c r="L82" t="str">
        <f t="shared" si="9"/>
        <v>skill_10019</v>
      </c>
      <c r="M82" t="str">
        <f t="shared" si="11"/>
        <v>ce_10019</v>
      </c>
      <c r="N82" t="str">
        <f t="shared" si="10"/>
        <v>str_desc_ce_10019</v>
      </c>
    </row>
    <row r="83" spans="2:16" x14ac:dyDescent="0.4">
      <c r="B83" s="1">
        <v>10019</v>
      </c>
      <c r="C83" s="1" t="str">
        <f t="shared" si="6"/>
        <v>str_name_10019</v>
      </c>
      <c r="D83" s="1" t="str">
        <f t="shared" si="7"/>
        <v>str_desc_10019</v>
      </c>
      <c r="E83" s="1" t="s">
        <v>67</v>
      </c>
      <c r="F83" s="1" t="s">
        <v>14</v>
      </c>
      <c r="G83" s="1">
        <v>5</v>
      </c>
      <c r="H83">
        <v>50</v>
      </c>
      <c r="I83">
        <v>1</v>
      </c>
      <c r="J83" s="1">
        <v>0</v>
      </c>
      <c r="K83" t="str">
        <f t="shared" si="8"/>
        <v>Red1</v>
      </c>
      <c r="L83" t="str">
        <f t="shared" si="9"/>
        <v>skill_10019</v>
      </c>
      <c r="M83" t="str">
        <f t="shared" si="11"/>
        <v>ce_10019</v>
      </c>
      <c r="N83" t="str">
        <f t="shared" si="10"/>
        <v>str_desc_ce_10019</v>
      </c>
    </row>
    <row r="84" spans="2:16" x14ac:dyDescent="0.4">
      <c r="B84" s="1">
        <v>10020</v>
      </c>
      <c r="C84" s="1" t="str">
        <f t="shared" si="6"/>
        <v>str_name_10020</v>
      </c>
      <c r="D84" s="1" t="str">
        <f t="shared" si="7"/>
        <v>str_desc_10020</v>
      </c>
      <c r="E84" s="1" t="s">
        <v>68</v>
      </c>
      <c r="F84" s="1" t="s">
        <v>16</v>
      </c>
      <c r="G84" s="1">
        <v>3</v>
      </c>
      <c r="H84">
        <v>30</v>
      </c>
      <c r="I84">
        <v>0.75</v>
      </c>
      <c r="J84" s="1">
        <v>0</v>
      </c>
      <c r="K84" t="str">
        <f t="shared" si="8"/>
        <v>Blue1</v>
      </c>
      <c r="L84" t="str">
        <f t="shared" si="9"/>
        <v>skill_10020</v>
      </c>
      <c r="M84" t="str">
        <f t="shared" si="11"/>
        <v>ce_10020</v>
      </c>
      <c r="N84" t="str">
        <f t="shared" si="10"/>
        <v>str_desc_ce_10020</v>
      </c>
      <c r="O84" t="s">
        <v>22</v>
      </c>
      <c r="P84">
        <v>1000</v>
      </c>
    </row>
    <row r="85" spans="2:16" x14ac:dyDescent="0.4">
      <c r="B85" s="1">
        <v>10020</v>
      </c>
      <c r="C85" s="1" t="str">
        <f t="shared" si="6"/>
        <v>str_name_10020</v>
      </c>
      <c r="D85" s="1" t="str">
        <f t="shared" si="7"/>
        <v>str_desc_10020</v>
      </c>
      <c r="E85" s="1" t="s">
        <v>68</v>
      </c>
      <c r="F85" s="1" t="s">
        <v>16</v>
      </c>
      <c r="G85" s="1">
        <v>4</v>
      </c>
      <c r="H85">
        <v>40</v>
      </c>
      <c r="I85">
        <v>0.75</v>
      </c>
      <c r="J85" s="1">
        <v>0</v>
      </c>
      <c r="K85" t="str">
        <f t="shared" si="8"/>
        <v>Blue1</v>
      </c>
      <c r="L85" t="str">
        <f t="shared" si="9"/>
        <v>skill_10020</v>
      </c>
      <c r="M85" t="str">
        <f t="shared" si="11"/>
        <v>ce_10020</v>
      </c>
      <c r="N85" t="str">
        <f t="shared" si="10"/>
        <v>str_desc_ce_10020</v>
      </c>
    </row>
    <row r="86" spans="2:16" x14ac:dyDescent="0.4">
      <c r="B86" s="1">
        <v>10020</v>
      </c>
      <c r="C86" s="1" t="str">
        <f t="shared" si="6"/>
        <v>str_name_10020</v>
      </c>
      <c r="D86" s="1" t="str">
        <f t="shared" si="7"/>
        <v>str_desc_10020</v>
      </c>
      <c r="E86" s="1" t="s">
        <v>68</v>
      </c>
      <c r="F86" s="1" t="s">
        <v>16</v>
      </c>
      <c r="G86" s="1">
        <v>5</v>
      </c>
      <c r="H86">
        <v>50</v>
      </c>
      <c r="I86">
        <v>0.75</v>
      </c>
      <c r="J86" s="1">
        <v>0</v>
      </c>
      <c r="K86" t="str">
        <f t="shared" si="8"/>
        <v>Blue1</v>
      </c>
      <c r="L86" t="str">
        <f t="shared" si="9"/>
        <v>skill_10020</v>
      </c>
      <c r="M86" t="str">
        <f t="shared" si="11"/>
        <v>ce_10020</v>
      </c>
      <c r="N86" t="str">
        <f t="shared" si="10"/>
        <v>str_desc_ce_10020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37"/>
  <sheetViews>
    <sheetView workbookViewId="0">
      <selection activeCell="E13" sqref="E13"/>
    </sheetView>
  </sheetViews>
  <sheetFormatPr defaultRowHeight="17.399999999999999" x14ac:dyDescent="0.4"/>
  <cols>
    <col min="1" max="1" width="6.19921875" bestFit="1" customWidth="1"/>
    <col min="2" max="2" width="16.0976562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0</v>
      </c>
      <c r="C2" s="2" t="s">
        <v>1</v>
      </c>
      <c r="D2" s="2" t="s">
        <v>2</v>
      </c>
      <c r="E2" s="2" t="s">
        <v>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8</v>
      </c>
      <c r="C3" s="3" t="s">
        <v>40</v>
      </c>
      <c r="D3" s="3" t="s">
        <v>32</v>
      </c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4</v>
      </c>
      <c r="C4" s="3" t="s">
        <v>40</v>
      </c>
      <c r="D4" s="3" t="s">
        <v>33</v>
      </c>
      <c r="E4" s="3" t="s">
        <v>41</v>
      </c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5</v>
      </c>
      <c r="C5" s="3" t="s">
        <v>40</v>
      </c>
      <c r="D5" s="3" t="s">
        <v>34</v>
      </c>
      <c r="E5" s="3" t="s">
        <v>41</v>
      </c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6</v>
      </c>
      <c r="C6" s="3" t="s">
        <v>40</v>
      </c>
      <c r="D6" s="3" t="s">
        <v>35</v>
      </c>
      <c r="E6" s="3" t="s">
        <v>36</v>
      </c>
      <c r="F6" s="1"/>
      <c r="G6" s="1"/>
      <c r="H6" s="1"/>
      <c r="I6" s="1"/>
      <c r="J6" s="1"/>
      <c r="K6" s="1"/>
      <c r="L6" s="1"/>
      <c r="M6" s="1"/>
      <c r="N6" s="1"/>
    </row>
    <row r="7" spans="1:14" ht="69.599999999999994" x14ac:dyDescent="0.4">
      <c r="A7" s="1"/>
      <c r="B7" s="3" t="s">
        <v>12</v>
      </c>
      <c r="C7" s="4" t="s">
        <v>38</v>
      </c>
      <c r="D7" s="3" t="s">
        <v>37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x14ac:dyDescent="0.4">
      <c r="A8" s="1"/>
      <c r="B8" s="3" t="s">
        <v>13</v>
      </c>
      <c r="C8" s="4" t="s">
        <v>39</v>
      </c>
      <c r="D8" s="4" t="s">
        <v>54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x14ac:dyDescent="0.4">
      <c r="A9" s="1"/>
      <c r="B9" s="3" t="s">
        <v>9</v>
      </c>
      <c r="C9" s="4" t="s">
        <v>42</v>
      </c>
      <c r="D9" s="3" t="s">
        <v>43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x14ac:dyDescent="0.4">
      <c r="A10" s="1"/>
      <c r="B10" s="3" t="s">
        <v>10</v>
      </c>
      <c r="C10" s="4" t="s">
        <v>44</v>
      </c>
      <c r="D10" s="4" t="s">
        <v>45</v>
      </c>
      <c r="E10" s="3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4">
      <c r="A11" s="1"/>
      <c r="B11" s="3" t="s">
        <v>31</v>
      </c>
      <c r="C11" s="4" t="s">
        <v>46</v>
      </c>
      <c r="D11" s="4" t="s">
        <v>47</v>
      </c>
      <c r="E11" s="3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4">
      <c r="A12" s="1"/>
      <c r="B12" s="1" t="s">
        <v>57</v>
      </c>
      <c r="C12" s="3" t="s">
        <v>40</v>
      </c>
      <c r="D12" s="4" t="s">
        <v>58</v>
      </c>
      <c r="E12" s="3" t="s">
        <v>59</v>
      </c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4">
      <c r="A13" s="1"/>
      <c r="B13" s="3" t="s">
        <v>7</v>
      </c>
      <c r="C13" s="3" t="s">
        <v>40</v>
      </c>
      <c r="D13" s="4" t="s">
        <v>49</v>
      </c>
      <c r="E13" s="3" t="s">
        <v>48</v>
      </c>
      <c r="F13" s="1"/>
      <c r="G13" s="1"/>
      <c r="H13" s="1"/>
      <c r="I13" s="1"/>
      <c r="J13" s="1"/>
      <c r="K13" s="1"/>
    </row>
    <row r="14" spans="1:14" x14ac:dyDescent="0.4">
      <c r="A14" s="1"/>
      <c r="B14" s="3" t="s">
        <v>17</v>
      </c>
      <c r="C14" s="4" t="s">
        <v>40</v>
      </c>
      <c r="D14" s="4" t="s">
        <v>50</v>
      </c>
      <c r="E14" s="3" t="s">
        <v>51</v>
      </c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18</v>
      </c>
      <c r="C15" s="3" t="s">
        <v>40</v>
      </c>
      <c r="D15" s="4" t="s">
        <v>52</v>
      </c>
      <c r="E15" s="3" t="s">
        <v>41</v>
      </c>
      <c r="F15" s="1"/>
      <c r="G15" s="1"/>
      <c r="H15" s="1"/>
      <c r="I15" s="1"/>
      <c r="J15" s="1"/>
      <c r="K15" s="1"/>
    </row>
    <row r="16" spans="1:14" ht="69.599999999999994" x14ac:dyDescent="0.4">
      <c r="A16" s="1"/>
      <c r="B16" s="3" t="s">
        <v>19</v>
      </c>
      <c r="C16" s="4" t="s">
        <v>53</v>
      </c>
      <c r="D16" s="4" t="s">
        <v>55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 t="s">
        <v>42</v>
      </c>
      <c r="D17" s="3" t="s">
        <v>56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F18" s="1"/>
      <c r="G18" s="1"/>
      <c r="H18" s="1"/>
      <c r="I18" s="1"/>
      <c r="J18" s="1"/>
      <c r="K18" s="1"/>
    </row>
    <row r="19" spans="1:11" x14ac:dyDescent="0.4">
      <c r="A19" s="1"/>
      <c r="F19" s="1"/>
      <c r="G19" s="1"/>
      <c r="H19" s="1"/>
      <c r="I19" s="1"/>
      <c r="J19" s="1"/>
      <c r="K19" s="1"/>
    </row>
    <row r="20" spans="1:11" x14ac:dyDescent="0.4">
      <c r="A20" s="1"/>
      <c r="F20" s="1"/>
      <c r="G20" s="1"/>
      <c r="H20" s="1"/>
      <c r="I20" s="1"/>
      <c r="J20" s="1"/>
      <c r="K20" s="1"/>
    </row>
    <row r="21" spans="1:11" x14ac:dyDescent="0.4">
      <c r="A21" s="1"/>
      <c r="F21" s="1"/>
      <c r="G21" s="1"/>
      <c r="H21" s="1"/>
      <c r="I21" s="1"/>
      <c r="J21" s="1"/>
      <c r="K21" s="1"/>
    </row>
    <row r="22" spans="1:11" x14ac:dyDescent="0.4">
      <c r="A22" s="1"/>
      <c r="F22" s="1"/>
      <c r="G22" s="1"/>
      <c r="H22" s="1"/>
      <c r="I22" s="1"/>
      <c r="J22" s="1"/>
      <c r="K22" s="1"/>
    </row>
    <row r="23" spans="1:11" x14ac:dyDescent="0.4">
      <c r="A23" s="1"/>
      <c r="F23" s="1"/>
      <c r="G23" s="1"/>
      <c r="H23" s="1"/>
      <c r="I23" s="1"/>
      <c r="J23" s="1"/>
      <c r="K23" s="1"/>
    </row>
    <row r="24" spans="1:11" x14ac:dyDescent="0.4">
      <c r="A24" s="1"/>
      <c r="F24" s="1"/>
      <c r="G24" s="1"/>
      <c r="H24" s="1"/>
      <c r="I24" s="1"/>
      <c r="J24" s="1"/>
      <c r="K24" s="1"/>
    </row>
    <row r="25" spans="1:11" x14ac:dyDescent="0.4">
      <c r="A25" s="1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2022-06-05T03:58:04Z</dcterms:modified>
</cp:coreProperties>
</file>