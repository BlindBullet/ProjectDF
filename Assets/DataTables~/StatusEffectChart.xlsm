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9BCA6AD-FFF6-407C-92A3-3B5AAF7F306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설명" sheetId="6" r:id="rId2"/>
    <sheet name="ConditionParam" sheetId="7" r:id="rId3"/>
    <sheet name="TargetParam" sheetId="8" r:id="rId4"/>
    <sheet name="EffectParam" sheetId="9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56" i="2" l="1"/>
  <c r="R157" i="2"/>
  <c r="R158" i="2"/>
  <c r="R159" i="2"/>
  <c r="R155" i="2"/>
  <c r="R150" i="2"/>
  <c r="R145" i="2"/>
  <c r="R140" i="2"/>
  <c r="R141" i="2"/>
  <c r="R142" i="2"/>
  <c r="R143" i="2" s="1"/>
  <c r="R144" i="2" s="1"/>
  <c r="R146" i="2" s="1"/>
  <c r="R147" i="2" s="1"/>
  <c r="R148" i="2" s="1"/>
  <c r="R149" i="2" s="1"/>
  <c r="R151" i="2" s="1"/>
  <c r="R152" i="2" s="1"/>
  <c r="R153" i="2" s="1"/>
  <c r="R154" i="2" s="1"/>
  <c r="R137" i="2"/>
  <c r="R138" i="2"/>
  <c r="R139" i="2" s="1"/>
  <c r="R136" i="2"/>
  <c r="R84" i="2"/>
  <c r="R83" i="2"/>
  <c r="R82" i="2"/>
  <c r="R81" i="2"/>
  <c r="R80" i="2"/>
  <c r="R79" i="2"/>
  <c r="R78" i="2"/>
  <c r="R77" i="2"/>
  <c r="R76" i="2"/>
  <c r="R75" i="2"/>
  <c r="R71" i="2"/>
  <c r="R72" i="2"/>
  <c r="R73" i="2"/>
  <c r="R74" i="2"/>
  <c r="R70" i="2"/>
  <c r="R66" i="2"/>
  <c r="R67" i="2"/>
  <c r="R68" i="2"/>
  <c r="R69" i="2"/>
  <c r="R65" i="2"/>
  <c r="R62" i="2"/>
  <c r="R63" i="2"/>
  <c r="R64" i="2"/>
  <c r="R61" i="2"/>
</calcChain>
</file>

<file path=xl/sharedStrings.xml><?xml version="1.0" encoding="utf-8"?>
<sst xmlns="http://schemas.openxmlformats.org/spreadsheetml/2006/main" count="1209" uniqueCount="290">
  <si>
    <t>Id</t>
    <phoneticPr fontId="1" type="noConversion"/>
  </si>
  <si>
    <t>StatChange</t>
    <phoneticPr fontId="1" type="noConversion"/>
  </si>
  <si>
    <t>Inc</t>
    <phoneticPr fontId="1" type="noConversion"/>
  </si>
  <si>
    <t>Atk</t>
    <phoneticPr fontId="1" type="noConversion"/>
  </si>
  <si>
    <t>ConType</t>
    <phoneticPr fontId="1" type="noConversion"/>
  </si>
  <si>
    <t>CParam1</t>
    <phoneticPr fontId="1" type="noConversion"/>
  </si>
  <si>
    <t>CParam2</t>
  </si>
  <si>
    <t>CParam3</t>
  </si>
  <si>
    <t>CParam4</t>
  </si>
  <si>
    <t>TargetType</t>
    <phoneticPr fontId="1" type="noConversion"/>
  </si>
  <si>
    <t>TParam1</t>
    <phoneticPr fontId="1" type="noConversion"/>
  </si>
  <si>
    <t>TParam2</t>
  </si>
  <si>
    <t>TParam3</t>
  </si>
  <si>
    <t>EffectType</t>
    <phoneticPr fontId="1" type="noConversion"/>
  </si>
  <si>
    <t>EParam1</t>
    <phoneticPr fontId="1" type="noConversion"/>
  </si>
  <si>
    <t>EParam2</t>
  </si>
  <si>
    <t>EParam3</t>
  </si>
  <si>
    <t>EParam4</t>
  </si>
  <si>
    <t>None</t>
    <phoneticPr fontId="1" type="noConversion"/>
  </si>
  <si>
    <t>Hero</t>
    <phoneticPr fontId="1" type="noConversion"/>
  </si>
  <si>
    <t>All</t>
    <phoneticPr fontId="1" type="noConversion"/>
  </si>
  <si>
    <t>DeployHero</t>
    <phoneticPr fontId="1" type="noConversion"/>
  </si>
  <si>
    <t>Attr</t>
    <phoneticPr fontId="1" type="noConversion"/>
  </si>
  <si>
    <t>Red</t>
    <phoneticPr fontId="1" type="noConversion"/>
  </si>
  <si>
    <t>High</t>
    <phoneticPr fontId="1" type="noConversion"/>
  </si>
  <si>
    <t>Slot</t>
    <phoneticPr fontId="1" type="noConversion"/>
  </si>
  <si>
    <t>StartStage</t>
    <phoneticPr fontId="1" type="noConversion"/>
  </si>
  <si>
    <t>Enemy</t>
    <phoneticPr fontId="1" type="noConversion"/>
  </si>
  <si>
    <t>Player</t>
    <phoneticPr fontId="1" type="noConversion"/>
  </si>
  <si>
    <t>CParam5</t>
  </si>
  <si>
    <t>Dec</t>
    <phoneticPr fontId="1" type="noConversion"/>
  </si>
  <si>
    <t>Hp</t>
    <phoneticPr fontId="1" type="noConversion"/>
  </si>
  <si>
    <t>Blue</t>
    <phoneticPr fontId="1" type="noConversion"/>
  </si>
  <si>
    <t>Lv</t>
    <phoneticPr fontId="1" type="noConversion"/>
  </si>
  <si>
    <t>ce_10001</t>
    <phoneticPr fontId="1" type="noConversion"/>
  </si>
  <si>
    <t>ce_10002</t>
  </si>
  <si>
    <t>CritChance</t>
    <phoneticPr fontId="1" type="noConversion"/>
  </si>
  <si>
    <t>ce_10003</t>
    <phoneticPr fontId="1" type="noConversion"/>
  </si>
  <si>
    <t>Green</t>
    <phoneticPr fontId="1" type="noConversion"/>
  </si>
  <si>
    <t>CritDmg</t>
    <phoneticPr fontId="1" type="noConversion"/>
  </si>
  <si>
    <t>ce_10004</t>
    <phoneticPr fontId="1" type="noConversion"/>
  </si>
  <si>
    <t>ce_10005</t>
    <phoneticPr fontId="1" type="noConversion"/>
  </si>
  <si>
    <t>ce_10006</t>
  </si>
  <si>
    <t>OwnHero</t>
    <phoneticPr fontId="1" type="noConversion"/>
  </si>
  <si>
    <t>ce_10007</t>
  </si>
  <si>
    <t>1|3|5</t>
    <phoneticPr fontId="1" type="noConversion"/>
  </si>
  <si>
    <t>ce_10008</t>
  </si>
  <si>
    <t>Spd</t>
    <phoneticPr fontId="1" type="noConversion"/>
  </si>
  <si>
    <t>OfflineReward</t>
    <phoneticPr fontId="1" type="noConversion"/>
  </si>
  <si>
    <t>Ascension</t>
    <phoneticPr fontId="1" type="noConversion"/>
  </si>
  <si>
    <t>Magicite</t>
    <phoneticPr fontId="1" type="noConversion"/>
  </si>
  <si>
    <t>Stage</t>
    <phoneticPr fontId="1" type="noConversion"/>
  </si>
  <si>
    <t>Amount</t>
    <phoneticPr fontId="1" type="noConversion"/>
  </si>
  <si>
    <t xml:space="preserve">시간(분) </t>
    <phoneticPr fontId="1" type="noConversion"/>
  </si>
  <si>
    <t>증가량(%)</t>
    <phoneticPr fontId="1" type="noConversion"/>
  </si>
  <si>
    <t>스테이지 증가량(+)</t>
    <phoneticPr fontId="1" type="noConversion"/>
  </si>
  <si>
    <t>SoulStoneRate</t>
    <phoneticPr fontId="1" type="noConversion"/>
  </si>
  <si>
    <t>보스 처치시 영혼석 획득 확률 증가량</t>
    <phoneticPr fontId="1" type="noConversion"/>
  </si>
  <si>
    <t>환생시 시작 스테이지</t>
    <phoneticPr fontId="1" type="noConversion"/>
  </si>
  <si>
    <t>환생시 마석 획득 증가</t>
    <phoneticPr fontId="1" type="noConversion"/>
  </si>
  <si>
    <t>오프라인 보상 제한 시간 증가</t>
    <phoneticPr fontId="1" type="noConversion"/>
  </si>
  <si>
    <t>오프라인 보상 증가량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</si>
  <si>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</si>
  <si>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</si>
  <si>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</si>
  <si>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</si>
  <si>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</si>
  <si>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</si>
  <si>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</si>
  <si>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int</t>
    <phoneticPr fontId="1" type="noConversion"/>
  </si>
  <si>
    <t>레벨 - 영웅의 경우 등급, 유물의 경우 레벨에 맞춰서 결정</t>
    <phoneticPr fontId="1" type="noConversion"/>
  </si>
  <si>
    <r>
      <rPr>
        <sz val="11"/>
        <color theme="1"/>
        <rFont val="Arial Unicode MS"/>
        <family val="2"/>
        <charset val="129"/>
      </rPr>
      <t xml:space="preserve">해당 효과의 사용 조건
</t>
    </r>
    <r>
      <rPr>
        <sz val="11"/>
        <color theme="1"/>
        <rFont val="Calibri"/>
        <family val="2"/>
      </rPr>
      <t xml:space="preserve">ConditionParameter </t>
    </r>
    <r>
      <rPr>
        <sz val="11"/>
        <color theme="1"/>
        <rFont val="Arial Unicode MS"/>
        <family val="2"/>
        <charset val="129"/>
      </rPr>
      <t>시트 참조</t>
    </r>
    <phoneticPr fontId="1" type="noConversion"/>
  </si>
  <si>
    <r>
      <rPr>
        <sz val="11"/>
        <color theme="1"/>
        <rFont val="Arial Unicode MS"/>
        <family val="2"/>
        <charset val="129"/>
      </rPr>
      <t>해당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Arial Unicode MS"/>
        <family val="2"/>
        <charset val="129"/>
      </rPr>
      <t>효과의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Arial Unicode MS"/>
        <family val="2"/>
        <charset val="129"/>
      </rPr>
      <t xml:space="preserve">대상
</t>
    </r>
    <r>
      <rPr>
        <sz val="11"/>
        <color theme="1"/>
        <rFont val="Arial"/>
        <family val="2"/>
      </rPr>
      <t xml:space="preserve">TargetParameter </t>
    </r>
    <r>
      <rPr>
        <sz val="11"/>
        <color theme="1"/>
        <rFont val="Arial Unicode MS"/>
        <family val="2"/>
        <charset val="129"/>
      </rPr>
      <t>시트 참조</t>
    </r>
    <phoneticPr fontId="1" type="noConversion"/>
  </si>
  <si>
    <t>발동될 효과
EffectParameter 시트 참조</t>
    <phoneticPr fontId="1" type="noConversion"/>
  </si>
  <si>
    <t>사용 조건 없음. ConType이 빈칸이어도 마찬가지</t>
    <phoneticPr fontId="1" type="noConversion"/>
  </si>
  <si>
    <t>(P1)Attr : 배치된 영웅들 중 (P2)속성이 (P4)개 이상/이하(P3)일 경우
(P1)AttrAll : 배치된 영웅들이 불, 물, 나무 모두를 충족할 경우
(P1)Grade : 배치된 영웅들 중 등급이 (P2) 등급 (P4)개 이상/이하(P3)일 경우
(P1)GradeAvr : 배치된 영웅들의 평균 등급이 (P3) 등급 이상/이하(P2)일 경우
(P1)Slot : (P2 : 배열 입력 가능) 슬롯의 영웅의 속성(P3)이 특정 속성(P4)일 경우
혹은 영웅의 등급(P3)이 (P5)등급 이상/이하(P4)일 경우</t>
    <phoneticPr fontId="1" type="noConversion"/>
  </si>
  <si>
    <t>(P1)Attr : 보유한 영웅들 중 (P2)속성이 (P4)개 이상/이하(P3)일 경우
(P1)Grade : 보유한 영웅들 중 등급이 (P2) 등급 (P4)개 이상/이하(P3)일 경우
(P1)GradeAvr : 보유한 영웅들의 평균 등급이 (P3) 등급 이상/이하(P2)일 경우</t>
    <phoneticPr fontId="1" type="noConversion"/>
  </si>
  <si>
    <t>입력 필요없음. 플레이어가 타겟이 됨.</t>
    <phoneticPr fontId="1" type="noConversion"/>
  </si>
  <si>
    <t>(T1)All : 배치 영웅 모두
(T1)Slot : (T2:배열입력 가능) 슬롯들의 영웅들
(T1)Attr : (T2)속성의 영웅들
(T1)Grade : (T3)등급 이상/이하(T2)인 영웅들</t>
    <phoneticPr fontId="1" type="noConversion"/>
  </si>
  <si>
    <t>Target이 Player일 경우</t>
    <phoneticPr fontId="1" type="noConversion"/>
  </si>
  <si>
    <t>Target이 Hero일 경우</t>
    <phoneticPr fontId="1" type="noConversion"/>
  </si>
  <si>
    <t>PenCount</t>
    <phoneticPr fontId="1" type="noConversion"/>
  </si>
  <si>
    <t>증가량(+)</t>
    <phoneticPr fontId="1" type="noConversion"/>
  </si>
  <si>
    <t>공격력이 N% 증가/감소</t>
    <phoneticPr fontId="1" type="noConversion"/>
  </si>
  <si>
    <t>공격속도가 N% 증가/감소</t>
    <phoneticPr fontId="1" type="noConversion"/>
  </si>
  <si>
    <t>치명타확률이 N% 증가/감소</t>
    <phoneticPr fontId="1" type="noConversion"/>
  </si>
  <si>
    <t>치명타 데미지가 N% 증가/감소</t>
    <phoneticPr fontId="1" type="noConversion"/>
  </si>
  <si>
    <t>발사체의 관통력 증가/감소</t>
    <phoneticPr fontId="1" type="noConversion"/>
  </si>
  <si>
    <t>Target이 Enemy일 경우</t>
    <phoneticPr fontId="1" type="noConversion"/>
  </si>
  <si>
    <t>이동속도가 N% 증가/감소</t>
    <phoneticPr fontId="1" type="noConversion"/>
  </si>
  <si>
    <t>Def</t>
    <phoneticPr fontId="1" type="noConversion"/>
  </si>
  <si>
    <t>ce_10009</t>
  </si>
  <si>
    <t>ce_10010</t>
    <phoneticPr fontId="1" type="noConversion"/>
  </si>
  <si>
    <t>LvUpGold</t>
    <phoneticPr fontId="1" type="noConversion"/>
  </si>
  <si>
    <t>레벨업에 드는 골드 증가/감소</t>
    <phoneticPr fontId="1" type="noConversion"/>
  </si>
  <si>
    <t>EParam5</t>
  </si>
  <si>
    <t>속성 방어력 N% 증가/감소</t>
    <phoneticPr fontId="1" type="noConversion"/>
  </si>
  <si>
    <t>Attr</t>
    <phoneticPr fontId="1" type="noConversion"/>
  </si>
  <si>
    <t>Red
Blue
Green</t>
    <phoneticPr fontId="1" type="noConversion"/>
  </si>
  <si>
    <t>All : 적 모두
Normal : 일반 적
Boss : 보스</t>
    <phoneticPr fontId="1" type="noConversion"/>
  </si>
  <si>
    <t>All (빈칸일 경우도 All)
Attr</t>
    <phoneticPr fontId="1" type="noConversion"/>
  </si>
  <si>
    <t>체력 증가/감소</t>
    <phoneticPr fontId="1" type="noConversion"/>
  </si>
  <si>
    <t>Minion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</si>
  <si>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</si>
  <si>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</si>
  <si>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</si>
  <si>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Gold</t>
    <phoneticPr fontId="1" type="noConversion"/>
  </si>
  <si>
    <t>처치시 골드 증가/감소</t>
    <phoneticPr fontId="1" type="noConversion"/>
  </si>
  <si>
    <t>환생시 골드 획득량</t>
    <phoneticPr fontId="1" type="noConversion"/>
  </si>
  <si>
    <t>획득량</t>
    <phoneticPr fontId="1" type="noConversion"/>
  </si>
  <si>
    <t>Quest</t>
    <phoneticPr fontId="1" type="noConversion"/>
  </si>
  <si>
    <t>Reward</t>
    <phoneticPr fontId="1" type="noConversion"/>
  </si>
  <si>
    <t>Time</t>
    <phoneticPr fontId="1" type="noConversion"/>
  </si>
  <si>
    <t>시간(%)</t>
    <phoneticPr fontId="1" type="noConversion"/>
  </si>
  <si>
    <t>퀘스트 리워드 증가</t>
    <phoneticPr fontId="1" type="noConversion"/>
  </si>
  <si>
    <t>퀘스트 시간 감소</t>
    <phoneticPr fontId="1" type="noConversion"/>
  </si>
  <si>
    <t>Relic1</t>
    <phoneticPr fontId="1" type="noConversion"/>
  </si>
  <si>
    <t>CoolTime</t>
    <phoneticPr fontId="1" type="noConversion"/>
  </si>
  <si>
    <t>스킬의 쿨타임 증가/감소</t>
    <phoneticPr fontId="1" type="noConversion"/>
  </si>
  <si>
    <t>LvUpIncRate</t>
    <phoneticPr fontId="1" type="noConversion"/>
  </si>
  <si>
    <t>LvUpIncValue</t>
    <phoneticPr fontId="1" type="noConversion"/>
  </si>
  <si>
    <t>double</t>
    <phoneticPr fontId="1" type="noConversion"/>
  </si>
  <si>
    <t>float</t>
    <phoneticPr fontId="1" type="noConversion"/>
  </si>
  <si>
    <t>레벨업마다 더해지는 값</t>
    <phoneticPr fontId="1" type="noConversion"/>
  </si>
  <si>
    <t>레벨업마다 곱해지는 값 (더해진 이후 곱해짐)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</si>
  <si>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</si>
  <si>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</si>
  <si>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</si>
  <si>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</si>
  <si>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</si>
  <si>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</si>
  <si>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</si>
  <si>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</si>
  <si>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</si>
  <si>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</si>
  <si>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</si>
  <si>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</si>
  <si>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</si>
  <si>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</si>
  <si>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</si>
  <si>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</si>
  <si>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</si>
  <si>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</si>
  <si>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</si>
  <si>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Normal</t>
    <phoneticPr fontId="1" type="noConversion"/>
  </si>
  <si>
    <t>Boss</t>
    <phoneticPr fontId="1" type="noConversion"/>
  </si>
  <si>
    <t>ce_10011</t>
  </si>
  <si>
    <t>ce_10012</t>
  </si>
  <si>
    <t>ce_10013</t>
  </si>
  <si>
    <t>ce_10014</t>
  </si>
  <si>
    <t>ce_10015</t>
  </si>
  <si>
    <t>ce_10016</t>
  </si>
  <si>
    <t>ce_10017</t>
  </si>
  <si>
    <t>ce_10018</t>
  </si>
  <si>
    <t>ce_10019</t>
  </si>
  <si>
    <t>ce_10020</t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</si>
  <si>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</si>
  <si>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</si>
  <si>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</si>
  <si>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</si>
  <si>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</si>
  <si>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</si>
  <si>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</si>
  <si>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</si>
  <si>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AutoSkill</t>
    <phoneticPr fontId="1" type="noConversion"/>
  </si>
  <si>
    <t>자동으로 스킬을 사용하는 확률</t>
    <phoneticPr fontId="1" type="noConversion"/>
  </si>
  <si>
    <t>Moat</t>
    <phoneticPr fontId="1" type="noConversion"/>
  </si>
  <si>
    <t>해자가 생깁니다. 해자 안에서 적의 속도 감소량.</t>
    <phoneticPr fontId="1" type="noConversion"/>
  </si>
  <si>
    <t>Castle9</t>
  </si>
  <si>
    <t>Castle10</t>
  </si>
  <si>
    <t>TouchSkillCool</t>
    <phoneticPr fontId="1" type="noConversion"/>
  </si>
  <si>
    <t>탭 공격을 할 때마다 N% 확률로 스킬 쿨타임이 1초씩 줄어듬.</t>
    <phoneticPr fontId="1" type="noConversion"/>
  </si>
  <si>
    <t>2|4</t>
    <phoneticPr fontId="1" type="noConversion"/>
  </si>
  <si>
    <t>1|5</t>
    <phoneticPr fontId="1" type="noConversion"/>
  </si>
  <si>
    <t>GradeAvr</t>
    <phoneticPr fontId="1" type="noConversion"/>
  </si>
  <si>
    <t>3|5</t>
    <phoneticPr fontId="1" type="noConversion"/>
  </si>
  <si>
    <t>Relic21</t>
    <phoneticPr fontId="1" type="noConversion"/>
  </si>
  <si>
    <t>Relic22</t>
    <phoneticPr fontId="1" type="noConversion"/>
  </si>
  <si>
    <t>DropSSNormal</t>
    <phoneticPr fontId="1" type="noConversion"/>
  </si>
  <si>
    <t>DropSSBoss</t>
    <phoneticPr fontId="1" type="noConversion"/>
  </si>
  <si>
    <t>Castle11</t>
  </si>
  <si>
    <t>AutoLvUp</t>
    <phoneticPr fontId="1" type="noConversion"/>
  </si>
  <si>
    <t>ce_10021</t>
  </si>
  <si>
    <t>ce_10022</t>
  </si>
  <si>
    <t>ce_10024</t>
    <phoneticPr fontId="1" type="noConversion"/>
  </si>
  <si>
    <t>ce_10023</t>
    <phoneticPr fontId="1" type="noConversion"/>
  </si>
  <si>
    <t>CritDmg2</t>
    <phoneticPr fontId="1" type="noConversion"/>
  </si>
  <si>
    <t>equipment_e_10001</t>
  </si>
  <si>
    <t>equipment_e_10002</t>
  </si>
  <si>
    <t>equipment_e_10003</t>
  </si>
  <si>
    <t>equipment_e_10004</t>
  </si>
  <si>
    <t>equipment_e_10005</t>
  </si>
  <si>
    <t>equipment_e_10006</t>
  </si>
  <si>
    <t>equipment_e_10007</t>
  </si>
  <si>
    <t>equipment_e_10008</t>
  </si>
  <si>
    <t>equipment_e_10009</t>
  </si>
  <si>
    <t>equipment_e_10010</t>
  </si>
  <si>
    <t>equipment_e_10011</t>
  </si>
  <si>
    <t>equipment_e_10012</t>
  </si>
  <si>
    <t>equipment_e_10013</t>
  </si>
  <si>
    <t>equipment_e_10014</t>
  </si>
  <si>
    <t>equipment_e_10015</t>
  </si>
  <si>
    <t>equipment_e_10016</t>
  </si>
  <si>
    <t>equipment_e_10017</t>
  </si>
  <si>
    <t>equipment_e_10018</t>
  </si>
  <si>
    <t>equipment_e_10019</t>
  </si>
  <si>
    <t>equipment_e_10020</t>
  </si>
  <si>
    <t>equipment_e_20002</t>
  </si>
  <si>
    <t>equipment_e_20003</t>
  </si>
  <si>
    <t>equipment_e_20004</t>
  </si>
  <si>
    <t>equipment_e_20005</t>
  </si>
  <si>
    <t>equipment_e_20006</t>
  </si>
  <si>
    <t>equipment_e_20007</t>
  </si>
  <si>
    <t>equipment_e_20008</t>
  </si>
  <si>
    <t>equipment_e_20009</t>
  </si>
  <si>
    <t>equipment_e_20010</t>
  </si>
  <si>
    <t>equipment_e_20011</t>
  </si>
  <si>
    <t>equipment_e_20012</t>
  </si>
  <si>
    <t>equipment_e_20013</t>
  </si>
  <si>
    <t>equipment_e_20014</t>
  </si>
  <si>
    <t>equipment_e_20015</t>
  </si>
  <si>
    <t>equipment_e_20016</t>
  </si>
  <si>
    <t>equipment_e_20017</t>
  </si>
  <si>
    <t>equipment_e_20018</t>
  </si>
  <si>
    <t>equipment_e_20019</t>
  </si>
  <si>
    <t>equipment_e_20020</t>
  </si>
  <si>
    <t>CritChance2</t>
    <phoneticPr fontId="1" type="noConversion"/>
  </si>
  <si>
    <t>equipment_c_10001</t>
  </si>
  <si>
    <t>equipment_c_10002</t>
  </si>
  <si>
    <t>equipment_c_10003</t>
  </si>
  <si>
    <t>equipment_c_10004</t>
  </si>
  <si>
    <t>equipment_c_10005</t>
  </si>
  <si>
    <t>equipment_c_10006</t>
  </si>
  <si>
    <t>equipment_c_10007</t>
  </si>
  <si>
    <t>equipment_c_10008</t>
  </si>
  <si>
    <t>equipment_c_10009</t>
  </si>
  <si>
    <t>equipment_c_10010</t>
  </si>
  <si>
    <t>equipment_c_10011</t>
  </si>
  <si>
    <t>equipment_c_10012</t>
  </si>
  <si>
    <t>equipment_c_10013</t>
  </si>
  <si>
    <t>equipment_c_10014</t>
  </si>
  <si>
    <t>equipment_c_10015</t>
  </si>
  <si>
    <t>equipment_c_10016</t>
  </si>
  <si>
    <t>equipment_c_10017</t>
  </si>
  <si>
    <t>equipment_c_10018</t>
  </si>
  <si>
    <t>equipment_c_10019</t>
  </si>
  <si>
    <t>equipment_c_10020</t>
  </si>
  <si>
    <t>equipment_c_20002</t>
  </si>
  <si>
    <t>equipment_c_20003</t>
  </si>
  <si>
    <t>equipment_c_20004</t>
  </si>
  <si>
    <t>equipment_c_20005</t>
  </si>
  <si>
    <t>equipment_c_20006</t>
  </si>
  <si>
    <t>equipment_c_20007</t>
  </si>
  <si>
    <t>equipment_c_20008</t>
  </si>
  <si>
    <t>equipment_c_20009</t>
  </si>
  <si>
    <t>equipment_c_20010</t>
  </si>
  <si>
    <t>equipment_c_20011</t>
  </si>
  <si>
    <t>equipment_c_20012</t>
  </si>
  <si>
    <t>equipment_c_20013</t>
  </si>
  <si>
    <t>equipment_c_20014</t>
  </si>
  <si>
    <t>equipment_c_20015</t>
  </si>
  <si>
    <t>equipment_c_20016</t>
  </si>
  <si>
    <t>equipment_c_20017</t>
  </si>
  <si>
    <t>equipment_c_20018</t>
  </si>
  <si>
    <t>equipment_c_20019</t>
  </si>
  <si>
    <t>equipment_c_20020</t>
  </si>
  <si>
    <t>equipment_e_10021</t>
  </si>
  <si>
    <t>equipment_e_10022</t>
  </si>
  <si>
    <t>equipment_e_10023</t>
  </si>
  <si>
    <t>equipment_e_10024</t>
  </si>
  <si>
    <t>equipment_e_10025</t>
  </si>
  <si>
    <t>equipment_e_20021</t>
  </si>
  <si>
    <t>equipment_e_20022</t>
  </si>
  <si>
    <t>equipment_e_20023</t>
  </si>
  <si>
    <t>equipment_e_20024</t>
  </si>
  <si>
    <t>equipment_e_20025</t>
  </si>
  <si>
    <t>equipment_c_10021</t>
  </si>
  <si>
    <t>equipment_c_10022</t>
  </si>
  <si>
    <t>equipment_c_10023</t>
  </si>
  <si>
    <t>equipment_c_10024</t>
  </si>
  <si>
    <t>equipment_c_10025</t>
  </si>
  <si>
    <t>equipment_c_20021</t>
  </si>
  <si>
    <t>equipment_c_20022</t>
  </si>
  <si>
    <t>equipment_c_20023</t>
  </si>
  <si>
    <t>equipment_c_20024</t>
  </si>
  <si>
    <t>equipment_c_20025</t>
  </si>
  <si>
    <t>equipment_e_20001</t>
    <phoneticPr fontId="1" type="noConversion"/>
  </si>
  <si>
    <t>equipment_c_20001</t>
    <phoneticPr fontId="1" type="noConversion"/>
  </si>
  <si>
    <t>Castle12</t>
  </si>
  <si>
    <t>1|3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</si>
</sst>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Calibri"/>
      <family val="2"/>
      <charset val="129"/>
    </font>
    <font>
      <sz val="11"/>
      <color theme="1"/>
      <name val="Arial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3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0" fillId="0" borderId="2" xfId="0" applyFill="1" applyBorder="1"/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7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 wrapText="1"/>
    </xf>
    <xf numFmtId="0" fontId="2" fillId="0" borderId="4" xfId="1" applyBorder="1" applyAlignment="1">
      <alignment horizontal="center" vertical="center" wrapText="1"/>
    </xf>
    <xf numFmtId="0" fontId="2" fillId="0" borderId="5" xfId="1" applyBorder="1" applyAlignment="1">
      <alignment horizontal="center" vertical="center" wrapText="1"/>
    </xf>
    <xf numFmtId="0" fontId="2" fillId="0" borderId="6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2" fillId="0" borderId="9" xfId="1" applyBorder="1" applyAlignment="1">
      <alignment horizontal="center" vertical="center" wrapText="1"/>
    </xf>
    <xf numFmtId="0" fontId="2" fillId="0" borderId="10" xfId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2">
    <cellStyle name="표준" xfId="0" builtinId="0"/>
    <cellStyle name="표준 2" xfId="1" xr:uid="{75D6D40E-DB72-45F9-B71E-DD0E1CA4F47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T159"/>
  <sheetViews>
    <sheetView tabSelected="1" workbookViewId="0">
      <pane ySplit="1" topLeftCell="A2" activePane="bottomLeft" state="frozen"/>
      <selection pane="bottomLeft" activeCell="D14" sqref="D14"/>
    </sheetView>
  </sheetViews>
  <sheetFormatPr defaultRowHeight="17.399999999999999"/>
  <cols>
    <col min="1" max="1" width="29.69921875" customWidth="1"/>
    <col min="2" max="2" width="18.5" bestFit="1" customWidth="1"/>
    <col min="3" max="3" width="11.19921875" bestFit="1" customWidth="1"/>
    <col min="4" max="4" width="9" bestFit="1" customWidth="1"/>
    <col min="5" max="8" width="8.5" bestFit="1" customWidth="1"/>
    <col min="9" max="9" width="10.69921875" bestFit="1" customWidth="1"/>
    <col min="10" max="12" width="8.3984375" bestFit="1" customWidth="1"/>
    <col min="13" max="13" width="13.69921875" bestFit="1" customWidth="1"/>
    <col min="14" max="14" width="8.19921875" bestFit="1" customWidth="1"/>
    <col min="15" max="15" width="13.5" bestFit="1" customWidth="1"/>
    <col min="16" max="17" width="8.19921875" bestFit="1" customWidth="1"/>
    <col min="19" max="19" width="12.59765625" bestFit="1" customWidth="1"/>
    <col min="20" max="20" width="11.69921875" bestFit="1" customWidth="1"/>
  </cols>
  <sheetData>
    <row r="1" spans="2:20" ht="33.75" customHeight="1">
      <c r="B1" t="s">
        <v>0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29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95</v>
      </c>
      <c r="S1" t="s">
        <v>120</v>
      </c>
      <c r="T1" t="s">
        <v>119</v>
      </c>
    </row>
    <row r="2" spans="2:20">
      <c r="B2" s="19" t="s">
        <v>34</v>
      </c>
      <c r="I2" t="s">
        <v>19</v>
      </c>
      <c r="J2" t="s">
        <v>22</v>
      </c>
      <c r="K2" t="s">
        <v>23</v>
      </c>
      <c r="M2" t="s">
        <v>1</v>
      </c>
      <c r="N2" t="s">
        <v>2</v>
      </c>
      <c r="O2" t="s">
        <v>3</v>
      </c>
      <c r="R2">
        <v>20</v>
      </c>
      <c r="T2">
        <v>2</v>
      </c>
    </row>
    <row r="3" spans="2:20">
      <c r="B3" s="19" t="s">
        <v>35</v>
      </c>
      <c r="I3" t="s">
        <v>19</v>
      </c>
      <c r="J3" t="s">
        <v>20</v>
      </c>
      <c r="M3" t="s">
        <v>1</v>
      </c>
      <c r="N3" t="s">
        <v>2</v>
      </c>
      <c r="O3" t="s">
        <v>36</v>
      </c>
      <c r="R3">
        <v>2</v>
      </c>
      <c r="S3">
        <v>2</v>
      </c>
    </row>
    <row r="4" spans="2:20">
      <c r="B4" s="19" t="s">
        <v>37</v>
      </c>
      <c r="I4" t="s">
        <v>19</v>
      </c>
      <c r="J4" t="s">
        <v>22</v>
      </c>
      <c r="K4" t="s">
        <v>38</v>
      </c>
      <c r="M4" t="s">
        <v>1</v>
      </c>
      <c r="N4" t="s">
        <v>2</v>
      </c>
      <c r="O4" t="s">
        <v>39</v>
      </c>
      <c r="R4">
        <v>20</v>
      </c>
      <c r="T4">
        <v>2</v>
      </c>
    </row>
    <row r="5" spans="2:20">
      <c r="B5" s="19" t="s">
        <v>40</v>
      </c>
      <c r="I5" t="s">
        <v>19</v>
      </c>
      <c r="J5" t="s">
        <v>20</v>
      </c>
      <c r="M5" t="s">
        <v>1</v>
      </c>
      <c r="N5" t="s">
        <v>2</v>
      </c>
      <c r="O5" t="s">
        <v>3</v>
      </c>
      <c r="R5">
        <v>10</v>
      </c>
      <c r="T5">
        <v>2</v>
      </c>
    </row>
    <row r="6" spans="2:20">
      <c r="B6" s="19" t="s">
        <v>41</v>
      </c>
      <c r="C6" t="s">
        <v>21</v>
      </c>
      <c r="D6" t="s">
        <v>25</v>
      </c>
      <c r="E6">
        <v>5</v>
      </c>
      <c r="F6" t="s">
        <v>22</v>
      </c>
      <c r="G6" t="s">
        <v>38</v>
      </c>
      <c r="I6" t="s">
        <v>27</v>
      </c>
      <c r="J6" t="s">
        <v>20</v>
      </c>
      <c r="M6" t="s">
        <v>1</v>
      </c>
      <c r="N6" t="s">
        <v>2</v>
      </c>
      <c r="O6" t="s">
        <v>106</v>
      </c>
      <c r="R6">
        <v>100</v>
      </c>
      <c r="T6">
        <v>2</v>
      </c>
    </row>
    <row r="7" spans="2:20">
      <c r="B7" s="19" t="s">
        <v>42</v>
      </c>
      <c r="C7" t="s">
        <v>21</v>
      </c>
      <c r="D7" t="s">
        <v>22</v>
      </c>
      <c r="E7" t="s">
        <v>32</v>
      </c>
      <c r="F7" t="s">
        <v>24</v>
      </c>
      <c r="G7">
        <v>2</v>
      </c>
      <c r="I7" t="s">
        <v>19</v>
      </c>
      <c r="J7" t="s">
        <v>20</v>
      </c>
      <c r="M7" t="s">
        <v>1</v>
      </c>
      <c r="N7" t="s">
        <v>2</v>
      </c>
      <c r="O7" t="s">
        <v>3</v>
      </c>
      <c r="R7">
        <v>20</v>
      </c>
      <c r="T7">
        <v>2</v>
      </c>
    </row>
    <row r="8" spans="2:20">
      <c r="B8" s="19" t="s">
        <v>44</v>
      </c>
      <c r="C8" t="s">
        <v>21</v>
      </c>
      <c r="D8" t="s">
        <v>22</v>
      </c>
      <c r="E8" t="s">
        <v>38</v>
      </c>
      <c r="F8" t="s">
        <v>24</v>
      </c>
      <c r="G8">
        <v>2</v>
      </c>
      <c r="I8" t="s">
        <v>19</v>
      </c>
      <c r="J8" t="s">
        <v>25</v>
      </c>
      <c r="K8" t="s">
        <v>45</v>
      </c>
      <c r="M8" t="s">
        <v>1</v>
      </c>
      <c r="N8" t="s">
        <v>2</v>
      </c>
      <c r="O8" t="s">
        <v>36</v>
      </c>
      <c r="R8">
        <v>2.5</v>
      </c>
      <c r="S8">
        <v>2.5</v>
      </c>
    </row>
    <row r="9" spans="2:20">
      <c r="B9" s="19" t="s">
        <v>46</v>
      </c>
      <c r="C9" t="s">
        <v>21</v>
      </c>
      <c r="D9" t="s">
        <v>22</v>
      </c>
      <c r="E9" t="s">
        <v>23</v>
      </c>
      <c r="F9" t="s">
        <v>24</v>
      </c>
      <c r="G9">
        <v>2</v>
      </c>
      <c r="I9" t="s">
        <v>19</v>
      </c>
      <c r="J9" t="s">
        <v>20</v>
      </c>
      <c r="M9" t="s">
        <v>1</v>
      </c>
      <c r="N9" t="s">
        <v>2</v>
      </c>
      <c r="O9" t="s">
        <v>47</v>
      </c>
      <c r="R9">
        <v>10</v>
      </c>
      <c r="S9">
        <v>10</v>
      </c>
    </row>
    <row r="10" spans="2:20">
      <c r="B10" s="19" t="s">
        <v>91</v>
      </c>
      <c r="I10" t="s">
        <v>19</v>
      </c>
      <c r="J10" t="s">
        <v>22</v>
      </c>
      <c r="K10" t="s">
        <v>38</v>
      </c>
      <c r="M10" t="s">
        <v>1</v>
      </c>
      <c r="N10" t="s">
        <v>2</v>
      </c>
      <c r="O10" t="s">
        <v>3</v>
      </c>
      <c r="R10">
        <v>20</v>
      </c>
      <c r="T10">
        <v>2</v>
      </c>
    </row>
    <row r="11" spans="2:20">
      <c r="B11" s="19" t="s">
        <v>92</v>
      </c>
      <c r="C11" t="s">
        <v>21</v>
      </c>
      <c r="D11" t="s">
        <v>25</v>
      </c>
      <c r="E11">
        <v>3</v>
      </c>
      <c r="F11" t="s">
        <v>22</v>
      </c>
      <c r="G11" t="s">
        <v>23</v>
      </c>
      <c r="I11" t="s">
        <v>19</v>
      </c>
      <c r="J11" t="s">
        <v>20</v>
      </c>
      <c r="M11" t="s">
        <v>1</v>
      </c>
      <c r="N11" t="s">
        <v>2</v>
      </c>
      <c r="O11" t="s">
        <v>3</v>
      </c>
      <c r="R11">
        <v>30</v>
      </c>
      <c r="T11">
        <v>2</v>
      </c>
    </row>
    <row r="12" spans="2:20">
      <c r="B12" s="19" t="s">
        <v>146</v>
      </c>
      <c r="C12" t="s">
        <v>21</v>
      </c>
      <c r="D12" t="s">
        <v>25</v>
      </c>
      <c r="E12">
        <v>1</v>
      </c>
      <c r="F12" t="s">
        <v>22</v>
      </c>
      <c r="G12" t="s">
        <v>38</v>
      </c>
      <c r="I12" t="s">
        <v>19</v>
      </c>
      <c r="J12" t="s">
        <v>20</v>
      </c>
      <c r="M12" t="s">
        <v>1</v>
      </c>
      <c r="N12" t="s">
        <v>2</v>
      </c>
      <c r="O12" t="s">
        <v>3</v>
      </c>
      <c r="R12">
        <v>30</v>
      </c>
      <c r="T12">
        <v>2</v>
      </c>
    </row>
    <row r="13" spans="2:20">
      <c r="B13" s="19" t="s">
        <v>147</v>
      </c>
      <c r="C13" t="s">
        <v>21</v>
      </c>
      <c r="D13" t="s">
        <v>25</v>
      </c>
      <c r="E13" t="s">
        <v>175</v>
      </c>
      <c r="F13" t="s">
        <v>22</v>
      </c>
      <c r="G13" t="s">
        <v>32</v>
      </c>
      <c r="I13" t="s">
        <v>19</v>
      </c>
      <c r="J13" t="s">
        <v>20</v>
      </c>
      <c r="M13" t="s">
        <v>1</v>
      </c>
      <c r="N13" t="s">
        <v>2</v>
      </c>
      <c r="O13" t="s">
        <v>36</v>
      </c>
      <c r="R13">
        <v>5</v>
      </c>
      <c r="S13">
        <v>5</v>
      </c>
    </row>
    <row r="14" spans="2:20">
      <c r="B14" s="19" t="s">
        <v>148</v>
      </c>
      <c r="C14" t="s">
        <v>21</v>
      </c>
      <c r="D14" t="s">
        <v>25</v>
      </c>
      <c r="E14" t="s">
        <v>172</v>
      </c>
      <c r="F14" t="s">
        <v>22</v>
      </c>
      <c r="G14" t="s">
        <v>23</v>
      </c>
      <c r="I14" t="s">
        <v>19</v>
      </c>
      <c r="J14" t="s">
        <v>20</v>
      </c>
      <c r="M14" t="s">
        <v>1</v>
      </c>
      <c r="N14" t="s">
        <v>2</v>
      </c>
      <c r="O14" t="s">
        <v>3</v>
      </c>
      <c r="R14">
        <v>30</v>
      </c>
      <c r="T14">
        <v>2</v>
      </c>
    </row>
    <row r="15" spans="2:20">
      <c r="B15" s="19" t="s">
        <v>149</v>
      </c>
      <c r="C15" t="s">
        <v>21</v>
      </c>
      <c r="D15" t="s">
        <v>25</v>
      </c>
      <c r="E15" t="s">
        <v>173</v>
      </c>
      <c r="F15" t="s">
        <v>22</v>
      </c>
      <c r="G15" t="s">
        <v>32</v>
      </c>
      <c r="I15" t="s">
        <v>19</v>
      </c>
      <c r="J15" t="s">
        <v>20</v>
      </c>
      <c r="M15" t="s">
        <v>1</v>
      </c>
      <c r="N15" t="s">
        <v>2</v>
      </c>
      <c r="O15" t="s">
        <v>36</v>
      </c>
      <c r="R15">
        <v>5</v>
      </c>
      <c r="S15">
        <v>5</v>
      </c>
    </row>
    <row r="16" spans="2:20">
      <c r="B16" s="19" t="s">
        <v>150</v>
      </c>
      <c r="C16" t="s">
        <v>21</v>
      </c>
      <c r="D16" t="s">
        <v>174</v>
      </c>
      <c r="E16">
        <v>3</v>
      </c>
      <c r="F16" t="s">
        <v>24</v>
      </c>
      <c r="I16" t="s">
        <v>19</v>
      </c>
      <c r="J16" t="s">
        <v>20</v>
      </c>
      <c r="M16" t="s">
        <v>1</v>
      </c>
      <c r="N16" t="s">
        <v>2</v>
      </c>
      <c r="O16" t="s">
        <v>3</v>
      </c>
      <c r="R16">
        <v>20</v>
      </c>
      <c r="T16">
        <v>2</v>
      </c>
    </row>
    <row r="17" spans="2:20">
      <c r="B17" s="19" t="s">
        <v>151</v>
      </c>
      <c r="C17" t="s">
        <v>21</v>
      </c>
      <c r="D17" t="s">
        <v>22</v>
      </c>
      <c r="E17" t="s">
        <v>38</v>
      </c>
      <c r="F17" t="s">
        <v>24</v>
      </c>
      <c r="G17">
        <v>3</v>
      </c>
      <c r="I17" t="s">
        <v>19</v>
      </c>
      <c r="J17" t="s">
        <v>20</v>
      </c>
      <c r="M17" t="s">
        <v>1</v>
      </c>
      <c r="N17" t="s">
        <v>2</v>
      </c>
      <c r="O17" t="s">
        <v>39</v>
      </c>
      <c r="R17">
        <v>50</v>
      </c>
      <c r="T17">
        <v>2</v>
      </c>
    </row>
    <row r="18" spans="2:20">
      <c r="B18" s="19" t="s">
        <v>152</v>
      </c>
      <c r="C18" t="s">
        <v>21</v>
      </c>
      <c r="D18" t="s">
        <v>25</v>
      </c>
      <c r="E18">
        <v>3</v>
      </c>
      <c r="F18" t="s">
        <v>22</v>
      </c>
      <c r="G18" t="s">
        <v>32</v>
      </c>
      <c r="I18" t="s">
        <v>19</v>
      </c>
      <c r="J18" t="s">
        <v>20</v>
      </c>
      <c r="M18" t="s">
        <v>1</v>
      </c>
      <c r="N18" t="s">
        <v>2</v>
      </c>
      <c r="O18" t="s">
        <v>36</v>
      </c>
      <c r="R18">
        <v>5</v>
      </c>
      <c r="S18">
        <v>5</v>
      </c>
    </row>
    <row r="19" spans="2:20">
      <c r="B19" s="19" t="s">
        <v>153</v>
      </c>
      <c r="I19" t="s">
        <v>19</v>
      </c>
      <c r="J19" t="s">
        <v>22</v>
      </c>
      <c r="K19" t="s">
        <v>38</v>
      </c>
      <c r="M19" t="s">
        <v>1</v>
      </c>
      <c r="N19" t="s">
        <v>2</v>
      </c>
      <c r="O19" t="s">
        <v>36</v>
      </c>
      <c r="R19">
        <v>5</v>
      </c>
      <c r="S19">
        <v>5</v>
      </c>
    </row>
    <row r="20" spans="2:20">
      <c r="B20" s="19" t="s">
        <v>154</v>
      </c>
      <c r="I20" t="s">
        <v>19</v>
      </c>
      <c r="J20" t="s">
        <v>22</v>
      </c>
      <c r="K20" t="s">
        <v>23</v>
      </c>
      <c r="M20" t="s">
        <v>1</v>
      </c>
      <c r="N20" t="s">
        <v>2</v>
      </c>
      <c r="O20" t="s">
        <v>36</v>
      </c>
      <c r="R20">
        <v>5</v>
      </c>
      <c r="S20">
        <v>5</v>
      </c>
    </row>
    <row r="21" spans="2:20">
      <c r="B21" s="19" t="s">
        <v>155</v>
      </c>
      <c r="I21" t="s">
        <v>19</v>
      </c>
      <c r="J21" t="s">
        <v>22</v>
      </c>
      <c r="K21" t="s">
        <v>32</v>
      </c>
      <c r="M21" t="s">
        <v>1</v>
      </c>
      <c r="N21" t="s">
        <v>2</v>
      </c>
      <c r="O21" t="s">
        <v>3</v>
      </c>
      <c r="R21">
        <v>30</v>
      </c>
      <c r="T21">
        <v>2</v>
      </c>
    </row>
    <row r="22" spans="2:20">
      <c r="B22" s="19" t="s">
        <v>182</v>
      </c>
      <c r="C22" t="s">
        <v>21</v>
      </c>
      <c r="D22" t="s">
        <v>25</v>
      </c>
      <c r="E22">
        <v>2</v>
      </c>
      <c r="F22" t="s">
        <v>22</v>
      </c>
      <c r="G22" t="s">
        <v>23</v>
      </c>
      <c r="I22" t="s">
        <v>19</v>
      </c>
      <c r="J22" t="s">
        <v>25</v>
      </c>
      <c r="K22">
        <v>2</v>
      </c>
      <c r="M22" t="s">
        <v>1</v>
      </c>
      <c r="N22" t="s">
        <v>2</v>
      </c>
      <c r="O22" t="s">
        <v>3</v>
      </c>
      <c r="R22">
        <v>35</v>
      </c>
      <c r="T22">
        <v>2</v>
      </c>
    </row>
    <row r="23" spans="2:20">
      <c r="B23" s="19" t="s">
        <v>183</v>
      </c>
      <c r="C23" t="s">
        <v>21</v>
      </c>
      <c r="D23" t="s">
        <v>25</v>
      </c>
      <c r="E23">
        <v>5</v>
      </c>
      <c r="F23" t="s">
        <v>22</v>
      </c>
      <c r="G23" t="s">
        <v>32</v>
      </c>
      <c r="I23" t="s">
        <v>19</v>
      </c>
      <c r="J23" t="s">
        <v>25</v>
      </c>
      <c r="K23">
        <v>5</v>
      </c>
      <c r="M23" t="s">
        <v>1</v>
      </c>
      <c r="N23" t="s">
        <v>2</v>
      </c>
      <c r="O23" t="s">
        <v>3</v>
      </c>
      <c r="R23">
        <v>35</v>
      </c>
      <c r="T23">
        <v>2</v>
      </c>
    </row>
    <row r="24" spans="2:20">
      <c r="B24" s="19" t="s">
        <v>185</v>
      </c>
      <c r="I24" t="s">
        <v>19</v>
      </c>
      <c r="J24" t="s">
        <v>20</v>
      </c>
      <c r="M24" t="s">
        <v>1</v>
      </c>
      <c r="N24" t="s">
        <v>2</v>
      </c>
      <c r="O24" t="s">
        <v>3</v>
      </c>
      <c r="R24">
        <v>25</v>
      </c>
      <c r="T24">
        <v>2</v>
      </c>
    </row>
    <row r="25" spans="2:20">
      <c r="B25" s="19" t="s">
        <v>184</v>
      </c>
      <c r="C25" t="s">
        <v>21</v>
      </c>
      <c r="D25" t="s">
        <v>25</v>
      </c>
      <c r="E25" t="s">
        <v>289</v>
      </c>
      <c r="F25" t="s">
        <v>22</v>
      </c>
      <c r="G25" t="s">
        <v>23</v>
      </c>
      <c r="I25" t="s">
        <v>19</v>
      </c>
      <c r="J25" t="s">
        <v>20</v>
      </c>
      <c r="M25" t="s">
        <v>1</v>
      </c>
      <c r="N25" t="s">
        <v>2</v>
      </c>
      <c r="O25" t="s">
        <v>3</v>
      </c>
      <c r="R25">
        <v>50</v>
      </c>
      <c r="T25">
        <v>2</v>
      </c>
    </row>
    <row r="26" spans="2:20">
      <c r="B26" s="17" t="s">
        <v>156</v>
      </c>
      <c r="I26" t="s">
        <v>28</v>
      </c>
      <c r="M26" t="s">
        <v>49</v>
      </c>
      <c r="N26" t="s">
        <v>2</v>
      </c>
      <c r="O26" t="s">
        <v>50</v>
      </c>
      <c r="R26">
        <v>5</v>
      </c>
      <c r="S26">
        <v>5</v>
      </c>
    </row>
    <row r="27" spans="2:20">
      <c r="B27" s="17" t="s">
        <v>157</v>
      </c>
      <c r="I27" t="s">
        <v>28</v>
      </c>
      <c r="M27" t="s">
        <v>49</v>
      </c>
      <c r="N27" t="s">
        <v>2</v>
      </c>
      <c r="O27" t="s">
        <v>26</v>
      </c>
      <c r="R27">
        <v>11</v>
      </c>
      <c r="S27">
        <v>10</v>
      </c>
    </row>
    <row r="28" spans="2:20">
      <c r="B28" s="17" t="s">
        <v>158</v>
      </c>
      <c r="I28" t="s">
        <v>28</v>
      </c>
      <c r="M28" t="s">
        <v>49</v>
      </c>
      <c r="N28" t="s">
        <v>2</v>
      </c>
      <c r="O28" t="s">
        <v>106</v>
      </c>
      <c r="R28">
        <v>200</v>
      </c>
      <c r="T28">
        <v>2</v>
      </c>
    </row>
    <row r="29" spans="2:20">
      <c r="B29" s="17" t="s">
        <v>159</v>
      </c>
      <c r="I29" t="s">
        <v>28</v>
      </c>
      <c r="M29" t="s">
        <v>48</v>
      </c>
      <c r="N29" t="s">
        <v>2</v>
      </c>
      <c r="O29" t="s">
        <v>52</v>
      </c>
      <c r="R29">
        <v>5</v>
      </c>
      <c r="S29">
        <v>5</v>
      </c>
    </row>
    <row r="30" spans="2:20">
      <c r="B30" s="17" t="s">
        <v>160</v>
      </c>
      <c r="I30" t="s">
        <v>28</v>
      </c>
      <c r="M30" t="s">
        <v>48</v>
      </c>
      <c r="N30" t="s">
        <v>2</v>
      </c>
      <c r="O30" t="s">
        <v>112</v>
      </c>
      <c r="R30">
        <v>30</v>
      </c>
      <c r="S30">
        <v>30</v>
      </c>
    </row>
    <row r="31" spans="2:20">
      <c r="B31" s="17" t="s">
        <v>161</v>
      </c>
      <c r="I31" t="s">
        <v>28</v>
      </c>
      <c r="M31" t="s">
        <v>110</v>
      </c>
      <c r="N31" t="s">
        <v>2</v>
      </c>
      <c r="O31" t="s">
        <v>111</v>
      </c>
      <c r="R31">
        <v>5</v>
      </c>
      <c r="S31">
        <v>5</v>
      </c>
    </row>
    <row r="32" spans="2:20">
      <c r="B32" s="17" t="s">
        <v>162</v>
      </c>
      <c r="I32" t="s">
        <v>28</v>
      </c>
      <c r="M32" t="s">
        <v>110</v>
      </c>
      <c r="N32" t="s">
        <v>30</v>
      </c>
      <c r="O32" t="s">
        <v>112</v>
      </c>
      <c r="R32">
        <v>5</v>
      </c>
      <c r="S32">
        <v>5</v>
      </c>
    </row>
    <row r="33" spans="2:20">
      <c r="B33" s="17" t="s">
        <v>163</v>
      </c>
      <c r="I33" t="s">
        <v>28</v>
      </c>
      <c r="M33" t="s">
        <v>51</v>
      </c>
      <c r="N33" t="s">
        <v>2</v>
      </c>
      <c r="O33" t="s">
        <v>164</v>
      </c>
      <c r="R33">
        <v>0.5</v>
      </c>
      <c r="S33">
        <v>0.5</v>
      </c>
    </row>
    <row r="34" spans="2:20">
      <c r="B34" s="17" t="s">
        <v>168</v>
      </c>
      <c r="I34" t="s">
        <v>28</v>
      </c>
      <c r="M34" t="s">
        <v>51</v>
      </c>
      <c r="N34" t="s">
        <v>2</v>
      </c>
      <c r="O34" t="s">
        <v>166</v>
      </c>
      <c r="R34">
        <v>5</v>
      </c>
      <c r="S34">
        <v>5</v>
      </c>
    </row>
    <row r="35" spans="2:20">
      <c r="B35" s="17" t="s">
        <v>169</v>
      </c>
      <c r="I35" t="s">
        <v>28</v>
      </c>
      <c r="M35" t="s">
        <v>51</v>
      </c>
      <c r="N35" t="s">
        <v>2</v>
      </c>
      <c r="O35" t="s">
        <v>170</v>
      </c>
      <c r="R35">
        <v>2.5</v>
      </c>
      <c r="S35">
        <v>0.5</v>
      </c>
    </row>
    <row r="36" spans="2:20">
      <c r="B36" s="17" t="s">
        <v>180</v>
      </c>
      <c r="I36" t="s">
        <v>28</v>
      </c>
      <c r="M36" t="s">
        <v>51</v>
      </c>
      <c r="N36" t="s">
        <v>2</v>
      </c>
      <c r="O36" t="s">
        <v>181</v>
      </c>
      <c r="R36">
        <v>0</v>
      </c>
      <c r="T36">
        <v>0</v>
      </c>
    </row>
    <row r="37" spans="2:20">
      <c r="B37" s="17" t="s">
        <v>288</v>
      </c>
      <c r="I37" t="s">
        <v>28</v>
      </c>
      <c r="M37" t="s">
        <v>49</v>
      </c>
      <c r="N37" t="s">
        <v>2</v>
      </c>
      <c r="O37" t="s">
        <v>50</v>
      </c>
      <c r="R37">
        <v>10</v>
      </c>
      <c r="S37">
        <v>10</v>
      </c>
    </row>
    <row r="38" spans="2:20">
      <c r="B38" s="18" t="s">
        <v>116</v>
      </c>
      <c r="I38" t="s">
        <v>27</v>
      </c>
      <c r="J38" t="s">
        <v>20</v>
      </c>
      <c r="M38" t="s">
        <v>1</v>
      </c>
      <c r="N38" t="s">
        <v>2</v>
      </c>
      <c r="O38" t="s">
        <v>106</v>
      </c>
      <c r="R38">
        <v>2.5</v>
      </c>
      <c r="S38">
        <v>2.5</v>
      </c>
      <c r="T38">
        <v>1.1499999999999999</v>
      </c>
    </row>
    <row r="39" spans="2:20">
      <c r="B39" s="18" t="s">
        <v>125</v>
      </c>
      <c r="I39" t="s">
        <v>28</v>
      </c>
      <c r="M39" t="s">
        <v>51</v>
      </c>
      <c r="N39" t="s">
        <v>30</v>
      </c>
      <c r="O39" t="s">
        <v>93</v>
      </c>
      <c r="R39">
        <v>2</v>
      </c>
      <c r="S39">
        <v>2</v>
      </c>
    </row>
    <row r="40" spans="2:20">
      <c r="B40" s="18" t="s">
        <v>126</v>
      </c>
      <c r="I40" t="s">
        <v>19</v>
      </c>
      <c r="J40" t="s">
        <v>22</v>
      </c>
      <c r="K40" t="s">
        <v>23</v>
      </c>
      <c r="M40" t="s">
        <v>1</v>
      </c>
      <c r="N40" t="s">
        <v>2</v>
      </c>
      <c r="O40" t="s">
        <v>3</v>
      </c>
      <c r="R40">
        <v>5</v>
      </c>
      <c r="S40">
        <v>5</v>
      </c>
      <c r="T40">
        <v>1.0149999999999999</v>
      </c>
    </row>
    <row r="41" spans="2:20">
      <c r="B41" s="18" t="s">
        <v>127</v>
      </c>
      <c r="I41" t="s">
        <v>19</v>
      </c>
      <c r="J41" t="s">
        <v>22</v>
      </c>
      <c r="K41" t="s">
        <v>32</v>
      </c>
      <c r="M41" t="s">
        <v>1</v>
      </c>
      <c r="N41" t="s">
        <v>2</v>
      </c>
      <c r="O41" t="s">
        <v>3</v>
      </c>
      <c r="R41">
        <v>5</v>
      </c>
      <c r="S41">
        <v>5</v>
      </c>
      <c r="T41">
        <v>1.0149999999999999</v>
      </c>
    </row>
    <row r="42" spans="2:20">
      <c r="B42" s="18" t="s">
        <v>128</v>
      </c>
      <c r="I42" t="s">
        <v>19</v>
      </c>
      <c r="J42" t="s">
        <v>22</v>
      </c>
      <c r="K42" t="s">
        <v>38</v>
      </c>
      <c r="M42" t="s">
        <v>1</v>
      </c>
      <c r="N42" t="s">
        <v>2</v>
      </c>
      <c r="O42" t="s">
        <v>3</v>
      </c>
      <c r="R42">
        <v>5</v>
      </c>
      <c r="S42">
        <v>5</v>
      </c>
      <c r="T42">
        <v>1.0149999999999999</v>
      </c>
    </row>
    <row r="43" spans="2:20">
      <c r="B43" s="18" t="s">
        <v>129</v>
      </c>
      <c r="I43" t="s">
        <v>19</v>
      </c>
      <c r="J43" t="s">
        <v>22</v>
      </c>
      <c r="K43" t="s">
        <v>23</v>
      </c>
      <c r="M43" t="s">
        <v>1</v>
      </c>
      <c r="N43" t="s">
        <v>2</v>
      </c>
      <c r="O43" t="s">
        <v>47</v>
      </c>
      <c r="R43">
        <v>0.1</v>
      </c>
      <c r="S43">
        <v>0.1</v>
      </c>
    </row>
    <row r="44" spans="2:20">
      <c r="B44" s="18" t="s">
        <v>130</v>
      </c>
      <c r="I44" t="s">
        <v>19</v>
      </c>
      <c r="J44" t="s">
        <v>22</v>
      </c>
      <c r="K44" t="s">
        <v>32</v>
      </c>
      <c r="M44" t="s">
        <v>1</v>
      </c>
      <c r="N44" t="s">
        <v>2</v>
      </c>
      <c r="O44" t="s">
        <v>47</v>
      </c>
      <c r="R44">
        <v>0.1</v>
      </c>
      <c r="S44">
        <v>0.1</v>
      </c>
    </row>
    <row r="45" spans="2:20">
      <c r="B45" s="18" t="s">
        <v>131</v>
      </c>
      <c r="I45" t="s">
        <v>19</v>
      </c>
      <c r="J45" t="s">
        <v>22</v>
      </c>
      <c r="K45" t="s">
        <v>38</v>
      </c>
      <c r="M45" t="s">
        <v>1</v>
      </c>
      <c r="N45" t="s">
        <v>2</v>
      </c>
      <c r="O45" t="s">
        <v>47</v>
      </c>
      <c r="R45">
        <v>0.1</v>
      </c>
      <c r="S45">
        <v>0.1</v>
      </c>
    </row>
    <row r="46" spans="2:20">
      <c r="B46" s="18" t="s">
        <v>132</v>
      </c>
      <c r="I46" t="s">
        <v>19</v>
      </c>
      <c r="J46" t="s">
        <v>22</v>
      </c>
      <c r="K46" t="s">
        <v>23</v>
      </c>
      <c r="M46" t="s">
        <v>1</v>
      </c>
      <c r="N46" t="s">
        <v>2</v>
      </c>
      <c r="O46" t="s">
        <v>36</v>
      </c>
      <c r="R46">
        <v>0.1</v>
      </c>
      <c r="S46">
        <v>0.1</v>
      </c>
    </row>
    <row r="47" spans="2:20">
      <c r="B47" s="18" t="s">
        <v>133</v>
      </c>
      <c r="I47" t="s">
        <v>19</v>
      </c>
      <c r="J47" t="s">
        <v>22</v>
      </c>
      <c r="K47" t="s">
        <v>32</v>
      </c>
      <c r="M47" t="s">
        <v>1</v>
      </c>
      <c r="N47" t="s">
        <v>2</v>
      </c>
      <c r="O47" t="s">
        <v>36</v>
      </c>
      <c r="R47">
        <v>0.1</v>
      </c>
      <c r="S47">
        <v>0.1</v>
      </c>
    </row>
    <row r="48" spans="2:20">
      <c r="B48" s="18" t="s">
        <v>134</v>
      </c>
      <c r="I48" t="s">
        <v>19</v>
      </c>
      <c r="J48" t="s">
        <v>22</v>
      </c>
      <c r="K48" t="s">
        <v>38</v>
      </c>
      <c r="M48" t="s">
        <v>1</v>
      </c>
      <c r="N48" t="s">
        <v>2</v>
      </c>
      <c r="O48" t="s">
        <v>36</v>
      </c>
      <c r="R48">
        <v>0.1</v>
      </c>
      <c r="S48">
        <v>0.1</v>
      </c>
    </row>
    <row r="49" spans="2:20">
      <c r="B49" s="18" t="s">
        <v>135</v>
      </c>
      <c r="I49" t="s">
        <v>19</v>
      </c>
      <c r="J49" t="s">
        <v>22</v>
      </c>
      <c r="K49" t="s">
        <v>23</v>
      </c>
      <c r="M49" t="s">
        <v>1</v>
      </c>
      <c r="N49" t="s">
        <v>2</v>
      </c>
      <c r="O49" t="s">
        <v>39</v>
      </c>
      <c r="R49">
        <v>1</v>
      </c>
      <c r="S49">
        <v>1</v>
      </c>
    </row>
    <row r="50" spans="2:20">
      <c r="B50" s="18" t="s">
        <v>136</v>
      </c>
      <c r="I50" t="s">
        <v>19</v>
      </c>
      <c r="J50" t="s">
        <v>22</v>
      </c>
      <c r="K50" t="s">
        <v>32</v>
      </c>
      <c r="M50" t="s">
        <v>1</v>
      </c>
      <c r="N50" t="s">
        <v>2</v>
      </c>
      <c r="O50" t="s">
        <v>39</v>
      </c>
      <c r="R50">
        <v>1</v>
      </c>
      <c r="S50">
        <v>1</v>
      </c>
    </row>
    <row r="51" spans="2:20">
      <c r="B51" s="18" t="s">
        <v>137</v>
      </c>
      <c r="I51" t="s">
        <v>19</v>
      </c>
      <c r="J51" t="s">
        <v>22</v>
      </c>
      <c r="K51" t="s">
        <v>38</v>
      </c>
      <c r="M51" t="s">
        <v>1</v>
      </c>
      <c r="N51" t="s">
        <v>2</v>
      </c>
      <c r="O51" t="s">
        <v>39</v>
      </c>
      <c r="R51">
        <v>1</v>
      </c>
      <c r="S51">
        <v>1</v>
      </c>
    </row>
    <row r="52" spans="2:20">
      <c r="B52" s="18" t="s">
        <v>138</v>
      </c>
      <c r="I52" t="s">
        <v>27</v>
      </c>
      <c r="J52" t="s">
        <v>144</v>
      </c>
      <c r="K52" t="s">
        <v>23</v>
      </c>
      <c r="M52" t="s">
        <v>1</v>
      </c>
      <c r="N52" t="s">
        <v>30</v>
      </c>
      <c r="O52" t="s">
        <v>31</v>
      </c>
      <c r="R52">
        <v>0.5</v>
      </c>
      <c r="S52">
        <v>0.5</v>
      </c>
    </row>
    <row r="53" spans="2:20">
      <c r="B53" s="18" t="s">
        <v>139</v>
      </c>
      <c r="I53" t="s">
        <v>27</v>
      </c>
      <c r="J53" t="s">
        <v>144</v>
      </c>
      <c r="K53" t="s">
        <v>32</v>
      </c>
      <c r="M53" t="s">
        <v>1</v>
      </c>
      <c r="N53" t="s">
        <v>30</v>
      </c>
      <c r="O53" t="s">
        <v>31</v>
      </c>
      <c r="R53">
        <v>0.5</v>
      </c>
      <c r="S53">
        <v>0.5</v>
      </c>
    </row>
    <row r="54" spans="2:20">
      <c r="B54" s="18" t="s">
        <v>140</v>
      </c>
      <c r="I54" t="s">
        <v>27</v>
      </c>
      <c r="J54" t="s">
        <v>144</v>
      </c>
      <c r="K54" t="s">
        <v>38</v>
      </c>
      <c r="M54" t="s">
        <v>1</v>
      </c>
      <c r="N54" t="s">
        <v>30</v>
      </c>
      <c r="O54" t="s">
        <v>31</v>
      </c>
      <c r="R54">
        <v>0.5</v>
      </c>
      <c r="S54">
        <v>0.5</v>
      </c>
    </row>
    <row r="55" spans="2:20">
      <c r="B55" s="18" t="s">
        <v>141</v>
      </c>
      <c r="I55" t="s">
        <v>27</v>
      </c>
      <c r="J55" t="s">
        <v>145</v>
      </c>
      <c r="K55" t="s">
        <v>23</v>
      </c>
      <c r="M55" t="s">
        <v>1</v>
      </c>
      <c r="N55" t="s">
        <v>30</v>
      </c>
      <c r="O55" t="s">
        <v>31</v>
      </c>
      <c r="R55">
        <v>0.5</v>
      </c>
      <c r="S55">
        <v>0.5</v>
      </c>
    </row>
    <row r="56" spans="2:20">
      <c r="B56" s="18" t="s">
        <v>142</v>
      </c>
      <c r="I56" t="s">
        <v>27</v>
      </c>
      <c r="J56" t="s">
        <v>145</v>
      </c>
      <c r="K56" t="s">
        <v>32</v>
      </c>
      <c r="M56" t="s">
        <v>1</v>
      </c>
      <c r="N56" t="s">
        <v>30</v>
      </c>
      <c r="O56" t="s">
        <v>31</v>
      </c>
      <c r="R56">
        <v>0.5</v>
      </c>
      <c r="S56">
        <v>0.5</v>
      </c>
    </row>
    <row r="57" spans="2:20">
      <c r="B57" s="18" t="s">
        <v>143</v>
      </c>
      <c r="I57" t="s">
        <v>27</v>
      </c>
      <c r="J57" t="s">
        <v>145</v>
      </c>
      <c r="K57" t="s">
        <v>38</v>
      </c>
      <c r="M57" t="s">
        <v>1</v>
      </c>
      <c r="N57" t="s">
        <v>30</v>
      </c>
      <c r="O57" t="s">
        <v>31</v>
      </c>
      <c r="R57">
        <v>0.5</v>
      </c>
      <c r="S57">
        <v>0.5</v>
      </c>
    </row>
    <row r="58" spans="2:20">
      <c r="B58" s="18" t="s">
        <v>176</v>
      </c>
      <c r="I58" t="s">
        <v>28</v>
      </c>
      <c r="M58" t="s">
        <v>51</v>
      </c>
      <c r="N58" t="s">
        <v>2</v>
      </c>
      <c r="O58" t="s">
        <v>178</v>
      </c>
      <c r="R58">
        <v>0.1</v>
      </c>
      <c r="S58">
        <v>0.1</v>
      </c>
    </row>
    <row r="59" spans="2:20">
      <c r="B59" s="18" t="s">
        <v>177</v>
      </c>
      <c r="I59" t="s">
        <v>28</v>
      </c>
      <c r="M59" t="s">
        <v>51</v>
      </c>
      <c r="N59" t="s">
        <v>2</v>
      </c>
      <c r="O59" t="s">
        <v>179</v>
      </c>
      <c r="R59">
        <v>1</v>
      </c>
      <c r="S59">
        <v>0.5</v>
      </c>
    </row>
    <row r="60" spans="2:20">
      <c r="B60" t="s">
        <v>187</v>
      </c>
      <c r="I60" t="s">
        <v>19</v>
      </c>
      <c r="J60" t="s">
        <v>20</v>
      </c>
      <c r="M60" t="s">
        <v>1</v>
      </c>
      <c r="N60" t="s">
        <v>2</v>
      </c>
      <c r="O60" t="s">
        <v>3</v>
      </c>
      <c r="R60" s="20">
        <v>5</v>
      </c>
      <c r="T60">
        <v>1.02</v>
      </c>
    </row>
    <row r="61" spans="2:20">
      <c r="B61" t="s">
        <v>188</v>
      </c>
      <c r="I61" t="s">
        <v>19</v>
      </c>
      <c r="J61" t="s">
        <v>20</v>
      </c>
      <c r="M61" t="s">
        <v>1</v>
      </c>
      <c r="N61" t="s">
        <v>2</v>
      </c>
      <c r="O61" t="s">
        <v>3</v>
      </c>
      <c r="R61" s="20">
        <f>R60+5</f>
        <v>10</v>
      </c>
      <c r="T61">
        <v>1.02</v>
      </c>
    </row>
    <row r="62" spans="2:20">
      <c r="B62" t="s">
        <v>189</v>
      </c>
      <c r="I62" t="s">
        <v>19</v>
      </c>
      <c r="J62" t="s">
        <v>20</v>
      </c>
      <c r="M62" t="s">
        <v>1</v>
      </c>
      <c r="N62" t="s">
        <v>2</v>
      </c>
      <c r="O62" t="s">
        <v>3</v>
      </c>
      <c r="R62" s="20">
        <f t="shared" ref="R62:R64" si="0">R61+5</f>
        <v>15</v>
      </c>
      <c r="T62">
        <v>1.02</v>
      </c>
    </row>
    <row r="63" spans="2:20">
      <c r="B63" t="s">
        <v>190</v>
      </c>
      <c r="I63" t="s">
        <v>19</v>
      </c>
      <c r="J63" t="s">
        <v>20</v>
      </c>
      <c r="M63" t="s">
        <v>1</v>
      </c>
      <c r="N63" t="s">
        <v>2</v>
      </c>
      <c r="O63" t="s">
        <v>3</v>
      </c>
      <c r="R63" s="20">
        <f t="shared" si="0"/>
        <v>20</v>
      </c>
      <c r="T63">
        <v>1.02</v>
      </c>
    </row>
    <row r="64" spans="2:20">
      <c r="B64" t="s">
        <v>191</v>
      </c>
      <c r="I64" t="s">
        <v>19</v>
      </c>
      <c r="J64" t="s">
        <v>20</v>
      </c>
      <c r="M64" t="s">
        <v>1</v>
      </c>
      <c r="N64" t="s">
        <v>2</v>
      </c>
      <c r="O64" t="s">
        <v>3</v>
      </c>
      <c r="R64" s="20">
        <f t="shared" si="0"/>
        <v>25</v>
      </c>
      <c r="T64">
        <v>1.02</v>
      </c>
    </row>
    <row r="65" spans="2:20">
      <c r="B65" t="s">
        <v>192</v>
      </c>
      <c r="I65" t="s">
        <v>19</v>
      </c>
      <c r="J65" t="s">
        <v>20</v>
      </c>
      <c r="M65" t="s">
        <v>1</v>
      </c>
      <c r="N65" t="s">
        <v>2</v>
      </c>
      <c r="O65" t="s">
        <v>3</v>
      </c>
      <c r="R65">
        <f>R64+10</f>
        <v>35</v>
      </c>
      <c r="T65">
        <v>1.02</v>
      </c>
    </row>
    <row r="66" spans="2:20">
      <c r="B66" t="s">
        <v>193</v>
      </c>
      <c r="I66" t="s">
        <v>19</v>
      </c>
      <c r="J66" t="s">
        <v>20</v>
      </c>
      <c r="M66" t="s">
        <v>1</v>
      </c>
      <c r="N66" t="s">
        <v>2</v>
      </c>
      <c r="O66" t="s">
        <v>3</v>
      </c>
      <c r="R66">
        <f t="shared" ref="R66:R69" si="1">R65+10</f>
        <v>45</v>
      </c>
      <c r="T66">
        <v>1.02</v>
      </c>
    </row>
    <row r="67" spans="2:20">
      <c r="B67" t="s">
        <v>194</v>
      </c>
      <c r="I67" t="s">
        <v>19</v>
      </c>
      <c r="J67" t="s">
        <v>20</v>
      </c>
      <c r="M67" t="s">
        <v>1</v>
      </c>
      <c r="N67" t="s">
        <v>2</v>
      </c>
      <c r="O67" t="s">
        <v>3</v>
      </c>
      <c r="R67">
        <f t="shared" si="1"/>
        <v>55</v>
      </c>
      <c r="T67">
        <v>1.02</v>
      </c>
    </row>
    <row r="68" spans="2:20">
      <c r="B68" t="s">
        <v>195</v>
      </c>
      <c r="I68" t="s">
        <v>19</v>
      </c>
      <c r="J68" t="s">
        <v>20</v>
      </c>
      <c r="M68" t="s">
        <v>1</v>
      </c>
      <c r="N68" t="s">
        <v>2</v>
      </c>
      <c r="O68" t="s">
        <v>3</v>
      </c>
      <c r="R68">
        <f t="shared" si="1"/>
        <v>65</v>
      </c>
      <c r="T68">
        <v>1.02</v>
      </c>
    </row>
    <row r="69" spans="2:20">
      <c r="B69" t="s">
        <v>196</v>
      </c>
      <c r="I69" t="s">
        <v>19</v>
      </c>
      <c r="J69" t="s">
        <v>20</v>
      </c>
      <c r="M69" t="s">
        <v>1</v>
      </c>
      <c r="N69" t="s">
        <v>2</v>
      </c>
      <c r="O69" t="s">
        <v>3</v>
      </c>
      <c r="R69">
        <f t="shared" si="1"/>
        <v>75</v>
      </c>
      <c r="T69">
        <v>1.02</v>
      </c>
    </row>
    <row r="70" spans="2:20">
      <c r="B70" t="s">
        <v>197</v>
      </c>
      <c r="I70" t="s">
        <v>19</v>
      </c>
      <c r="J70" t="s">
        <v>20</v>
      </c>
      <c r="M70" t="s">
        <v>1</v>
      </c>
      <c r="N70" t="s">
        <v>2</v>
      </c>
      <c r="O70" t="s">
        <v>3</v>
      </c>
      <c r="R70" s="20">
        <f>R69+15</f>
        <v>90</v>
      </c>
      <c r="T70">
        <v>1.02</v>
      </c>
    </row>
    <row r="71" spans="2:20">
      <c r="B71" t="s">
        <v>198</v>
      </c>
      <c r="I71" t="s">
        <v>19</v>
      </c>
      <c r="J71" t="s">
        <v>20</v>
      </c>
      <c r="M71" t="s">
        <v>1</v>
      </c>
      <c r="N71" t="s">
        <v>2</v>
      </c>
      <c r="O71" t="s">
        <v>3</v>
      </c>
      <c r="R71" s="20">
        <f t="shared" ref="R71:R74" si="2">R70+15</f>
        <v>105</v>
      </c>
      <c r="T71">
        <v>1.02</v>
      </c>
    </row>
    <row r="72" spans="2:20">
      <c r="B72" t="s">
        <v>199</v>
      </c>
      <c r="I72" t="s">
        <v>19</v>
      </c>
      <c r="J72" t="s">
        <v>20</v>
      </c>
      <c r="M72" t="s">
        <v>1</v>
      </c>
      <c r="N72" t="s">
        <v>2</v>
      </c>
      <c r="O72" t="s">
        <v>3</v>
      </c>
      <c r="R72" s="20">
        <f t="shared" si="2"/>
        <v>120</v>
      </c>
      <c r="T72">
        <v>1.02</v>
      </c>
    </row>
    <row r="73" spans="2:20">
      <c r="B73" t="s">
        <v>200</v>
      </c>
      <c r="I73" t="s">
        <v>19</v>
      </c>
      <c r="J73" t="s">
        <v>20</v>
      </c>
      <c r="M73" t="s">
        <v>1</v>
      </c>
      <c r="N73" t="s">
        <v>2</v>
      </c>
      <c r="O73" t="s">
        <v>3</v>
      </c>
      <c r="R73" s="20">
        <f t="shared" si="2"/>
        <v>135</v>
      </c>
      <c r="T73">
        <v>1.02</v>
      </c>
    </row>
    <row r="74" spans="2:20">
      <c r="B74" t="s">
        <v>201</v>
      </c>
      <c r="I74" t="s">
        <v>19</v>
      </c>
      <c r="J74" t="s">
        <v>20</v>
      </c>
      <c r="M74" t="s">
        <v>1</v>
      </c>
      <c r="N74" t="s">
        <v>2</v>
      </c>
      <c r="O74" t="s">
        <v>3</v>
      </c>
      <c r="R74" s="20">
        <f t="shared" si="2"/>
        <v>150</v>
      </c>
      <c r="T74">
        <v>1.02</v>
      </c>
    </row>
    <row r="75" spans="2:20">
      <c r="B75" t="s">
        <v>202</v>
      </c>
      <c r="I75" t="s">
        <v>19</v>
      </c>
      <c r="J75" t="s">
        <v>20</v>
      </c>
      <c r="M75" t="s">
        <v>1</v>
      </c>
      <c r="N75" t="s">
        <v>2</v>
      </c>
      <c r="O75" t="s">
        <v>3</v>
      </c>
      <c r="R75">
        <f>R74+20</f>
        <v>170</v>
      </c>
      <c r="T75">
        <v>1.02</v>
      </c>
    </row>
    <row r="76" spans="2:20">
      <c r="B76" t="s">
        <v>203</v>
      </c>
      <c r="I76" t="s">
        <v>19</v>
      </c>
      <c r="J76" t="s">
        <v>20</v>
      </c>
      <c r="M76" t="s">
        <v>1</v>
      </c>
      <c r="N76" t="s">
        <v>2</v>
      </c>
      <c r="O76" t="s">
        <v>3</v>
      </c>
      <c r="R76">
        <f>R75+25</f>
        <v>195</v>
      </c>
      <c r="T76">
        <v>1.02</v>
      </c>
    </row>
    <row r="77" spans="2:20">
      <c r="B77" t="s">
        <v>204</v>
      </c>
      <c r="I77" t="s">
        <v>19</v>
      </c>
      <c r="J77" t="s">
        <v>20</v>
      </c>
      <c r="M77" t="s">
        <v>1</v>
      </c>
      <c r="N77" t="s">
        <v>2</v>
      </c>
      <c r="O77" t="s">
        <v>3</v>
      </c>
      <c r="R77">
        <f>R76+30</f>
        <v>225</v>
      </c>
      <c r="T77">
        <v>1.02</v>
      </c>
    </row>
    <row r="78" spans="2:20">
      <c r="B78" t="s">
        <v>205</v>
      </c>
      <c r="I78" t="s">
        <v>19</v>
      </c>
      <c r="J78" t="s">
        <v>20</v>
      </c>
      <c r="M78" t="s">
        <v>1</v>
      </c>
      <c r="N78" t="s">
        <v>2</v>
      </c>
      <c r="O78" t="s">
        <v>3</v>
      </c>
      <c r="R78">
        <f>R77+35</f>
        <v>260</v>
      </c>
      <c r="T78">
        <v>1.02</v>
      </c>
    </row>
    <row r="79" spans="2:20">
      <c r="B79" t="s">
        <v>206</v>
      </c>
      <c r="I79" t="s">
        <v>19</v>
      </c>
      <c r="J79" t="s">
        <v>20</v>
      </c>
      <c r="M79" t="s">
        <v>1</v>
      </c>
      <c r="N79" t="s">
        <v>2</v>
      </c>
      <c r="O79" t="s">
        <v>3</v>
      </c>
      <c r="R79">
        <f>R78+40</f>
        <v>300</v>
      </c>
      <c r="T79">
        <v>1.02</v>
      </c>
    </row>
    <row r="80" spans="2:20">
      <c r="B80" t="s">
        <v>266</v>
      </c>
      <c r="I80" t="s">
        <v>19</v>
      </c>
      <c r="J80" t="s">
        <v>20</v>
      </c>
      <c r="M80" t="s">
        <v>1</v>
      </c>
      <c r="N80" t="s">
        <v>2</v>
      </c>
      <c r="O80" t="s">
        <v>3</v>
      </c>
      <c r="R80" s="20">
        <f>R79+50</f>
        <v>350</v>
      </c>
      <c r="T80">
        <v>1.02</v>
      </c>
    </row>
    <row r="81" spans="2:20">
      <c r="B81" t="s">
        <v>267</v>
      </c>
      <c r="I81" t="s">
        <v>19</v>
      </c>
      <c r="J81" t="s">
        <v>20</v>
      </c>
      <c r="M81" t="s">
        <v>1</v>
      </c>
      <c r="N81" t="s">
        <v>2</v>
      </c>
      <c r="O81" t="s">
        <v>3</v>
      </c>
      <c r="R81" s="20">
        <f>R80+100</f>
        <v>450</v>
      </c>
      <c r="T81">
        <v>1.02</v>
      </c>
    </row>
    <row r="82" spans="2:20">
      <c r="B82" t="s">
        <v>268</v>
      </c>
      <c r="I82" t="s">
        <v>19</v>
      </c>
      <c r="J82" t="s">
        <v>20</v>
      </c>
      <c r="M82" t="s">
        <v>1</v>
      </c>
      <c r="N82" t="s">
        <v>2</v>
      </c>
      <c r="O82" t="s">
        <v>3</v>
      </c>
      <c r="R82" s="20">
        <f>R81+200</f>
        <v>650</v>
      </c>
      <c r="T82">
        <v>1.02</v>
      </c>
    </row>
    <row r="83" spans="2:20">
      <c r="B83" t="s">
        <v>269</v>
      </c>
      <c r="I83" t="s">
        <v>19</v>
      </c>
      <c r="J83" t="s">
        <v>20</v>
      </c>
      <c r="M83" t="s">
        <v>1</v>
      </c>
      <c r="N83" t="s">
        <v>2</v>
      </c>
      <c r="O83" t="s">
        <v>3</v>
      </c>
      <c r="R83" s="20">
        <f>R82+350</f>
        <v>1000</v>
      </c>
      <c r="T83">
        <v>1.02</v>
      </c>
    </row>
    <row r="84" spans="2:20">
      <c r="B84" t="s">
        <v>270</v>
      </c>
      <c r="I84" t="s">
        <v>19</v>
      </c>
      <c r="J84" t="s">
        <v>20</v>
      </c>
      <c r="M84" t="s">
        <v>1</v>
      </c>
      <c r="N84" t="s">
        <v>2</v>
      </c>
      <c r="O84" t="s">
        <v>3</v>
      </c>
      <c r="R84" s="20">
        <f>R83+600</f>
        <v>1600</v>
      </c>
      <c r="T84">
        <v>1.02</v>
      </c>
    </row>
    <row r="85" spans="2:20">
      <c r="B85" t="s">
        <v>286</v>
      </c>
      <c r="I85" t="s">
        <v>19</v>
      </c>
      <c r="J85" t="s">
        <v>20</v>
      </c>
      <c r="M85" t="s">
        <v>1</v>
      </c>
      <c r="N85" t="s">
        <v>2</v>
      </c>
      <c r="O85" t="s">
        <v>226</v>
      </c>
      <c r="R85">
        <v>1</v>
      </c>
      <c r="S85">
        <v>0.1</v>
      </c>
    </row>
    <row r="86" spans="2:20">
      <c r="B86" t="s">
        <v>207</v>
      </c>
      <c r="I86" t="s">
        <v>19</v>
      </c>
      <c r="J86" t="s">
        <v>20</v>
      </c>
      <c r="M86" t="s">
        <v>1</v>
      </c>
      <c r="N86" t="s">
        <v>2</v>
      </c>
      <c r="O86" t="s">
        <v>226</v>
      </c>
      <c r="R86">
        <v>2</v>
      </c>
      <c r="S86">
        <v>0.1</v>
      </c>
    </row>
    <row r="87" spans="2:20">
      <c r="B87" t="s">
        <v>208</v>
      </c>
      <c r="I87" t="s">
        <v>19</v>
      </c>
      <c r="J87" t="s">
        <v>20</v>
      </c>
      <c r="M87" t="s">
        <v>1</v>
      </c>
      <c r="N87" t="s">
        <v>2</v>
      </c>
      <c r="O87" t="s">
        <v>226</v>
      </c>
      <c r="R87">
        <v>3</v>
      </c>
      <c r="S87">
        <v>0.1</v>
      </c>
    </row>
    <row r="88" spans="2:20">
      <c r="B88" t="s">
        <v>209</v>
      </c>
      <c r="I88" t="s">
        <v>19</v>
      </c>
      <c r="J88" t="s">
        <v>20</v>
      </c>
      <c r="M88" t="s">
        <v>1</v>
      </c>
      <c r="N88" t="s">
        <v>2</v>
      </c>
      <c r="O88" t="s">
        <v>226</v>
      </c>
      <c r="R88">
        <v>4</v>
      </c>
      <c r="S88">
        <v>0.1</v>
      </c>
    </row>
    <row r="89" spans="2:20">
      <c r="B89" t="s">
        <v>210</v>
      </c>
      <c r="I89" t="s">
        <v>19</v>
      </c>
      <c r="J89" t="s">
        <v>20</v>
      </c>
      <c r="M89" t="s">
        <v>1</v>
      </c>
      <c r="N89" t="s">
        <v>2</v>
      </c>
      <c r="O89" t="s">
        <v>226</v>
      </c>
      <c r="R89">
        <v>5</v>
      </c>
      <c r="S89">
        <v>0.1</v>
      </c>
    </row>
    <row r="90" spans="2:20">
      <c r="B90" t="s">
        <v>211</v>
      </c>
      <c r="I90" t="s">
        <v>19</v>
      </c>
      <c r="J90" t="s">
        <v>20</v>
      </c>
      <c r="M90" t="s">
        <v>1</v>
      </c>
      <c r="N90" t="s">
        <v>2</v>
      </c>
      <c r="O90" t="s">
        <v>226</v>
      </c>
      <c r="R90" s="20">
        <v>6</v>
      </c>
      <c r="S90">
        <v>0.1</v>
      </c>
    </row>
    <row r="91" spans="2:20">
      <c r="B91" t="s">
        <v>212</v>
      </c>
      <c r="I91" t="s">
        <v>19</v>
      </c>
      <c r="J91" t="s">
        <v>20</v>
      </c>
      <c r="M91" t="s">
        <v>1</v>
      </c>
      <c r="N91" t="s">
        <v>2</v>
      </c>
      <c r="O91" t="s">
        <v>226</v>
      </c>
      <c r="R91" s="20">
        <v>7</v>
      </c>
      <c r="S91">
        <v>0.1</v>
      </c>
    </row>
    <row r="92" spans="2:20">
      <c r="B92" t="s">
        <v>213</v>
      </c>
      <c r="I92" t="s">
        <v>19</v>
      </c>
      <c r="J92" t="s">
        <v>20</v>
      </c>
      <c r="M92" t="s">
        <v>1</v>
      </c>
      <c r="N92" t="s">
        <v>2</v>
      </c>
      <c r="O92" t="s">
        <v>226</v>
      </c>
      <c r="R92" s="20">
        <v>8</v>
      </c>
      <c r="S92">
        <v>0.1</v>
      </c>
    </row>
    <row r="93" spans="2:20">
      <c r="B93" t="s">
        <v>214</v>
      </c>
      <c r="I93" t="s">
        <v>19</v>
      </c>
      <c r="J93" t="s">
        <v>20</v>
      </c>
      <c r="M93" t="s">
        <v>1</v>
      </c>
      <c r="N93" t="s">
        <v>2</v>
      </c>
      <c r="O93" t="s">
        <v>226</v>
      </c>
      <c r="R93" s="20">
        <v>9</v>
      </c>
      <c r="S93">
        <v>0.1</v>
      </c>
    </row>
    <row r="94" spans="2:20">
      <c r="B94" t="s">
        <v>215</v>
      </c>
      <c r="I94" t="s">
        <v>19</v>
      </c>
      <c r="J94" t="s">
        <v>20</v>
      </c>
      <c r="M94" t="s">
        <v>1</v>
      </c>
      <c r="N94" t="s">
        <v>2</v>
      </c>
      <c r="O94" t="s">
        <v>226</v>
      </c>
      <c r="R94" s="20">
        <v>10</v>
      </c>
      <c r="S94">
        <v>0.1</v>
      </c>
    </row>
    <row r="95" spans="2:20">
      <c r="B95" t="s">
        <v>216</v>
      </c>
      <c r="I95" t="s">
        <v>19</v>
      </c>
      <c r="J95" t="s">
        <v>20</v>
      </c>
      <c r="M95" t="s">
        <v>1</v>
      </c>
      <c r="N95" t="s">
        <v>2</v>
      </c>
      <c r="O95" t="s">
        <v>226</v>
      </c>
      <c r="R95">
        <v>12</v>
      </c>
      <c r="S95">
        <v>0.1</v>
      </c>
    </row>
    <row r="96" spans="2:20">
      <c r="B96" t="s">
        <v>217</v>
      </c>
      <c r="I96" t="s">
        <v>19</v>
      </c>
      <c r="J96" t="s">
        <v>20</v>
      </c>
      <c r="M96" t="s">
        <v>1</v>
      </c>
      <c r="N96" t="s">
        <v>2</v>
      </c>
      <c r="O96" t="s">
        <v>226</v>
      </c>
      <c r="R96">
        <v>14</v>
      </c>
      <c r="S96">
        <v>0.1</v>
      </c>
    </row>
    <row r="97" spans="2:20">
      <c r="B97" t="s">
        <v>218</v>
      </c>
      <c r="I97" t="s">
        <v>19</v>
      </c>
      <c r="J97" t="s">
        <v>20</v>
      </c>
      <c r="M97" t="s">
        <v>1</v>
      </c>
      <c r="N97" t="s">
        <v>2</v>
      </c>
      <c r="O97" t="s">
        <v>226</v>
      </c>
      <c r="R97">
        <v>16</v>
      </c>
      <c r="S97">
        <v>0.1</v>
      </c>
    </row>
    <row r="98" spans="2:20">
      <c r="B98" t="s">
        <v>219</v>
      </c>
      <c r="I98" t="s">
        <v>19</v>
      </c>
      <c r="J98" t="s">
        <v>20</v>
      </c>
      <c r="M98" t="s">
        <v>1</v>
      </c>
      <c r="N98" t="s">
        <v>2</v>
      </c>
      <c r="O98" t="s">
        <v>226</v>
      </c>
      <c r="R98">
        <v>18</v>
      </c>
      <c r="S98">
        <v>0.1</v>
      </c>
    </row>
    <row r="99" spans="2:20">
      <c r="B99" t="s">
        <v>220</v>
      </c>
      <c r="I99" t="s">
        <v>19</v>
      </c>
      <c r="J99" t="s">
        <v>20</v>
      </c>
      <c r="M99" t="s">
        <v>1</v>
      </c>
      <c r="N99" t="s">
        <v>2</v>
      </c>
      <c r="O99" t="s">
        <v>226</v>
      </c>
      <c r="R99">
        <v>20</v>
      </c>
      <c r="S99">
        <v>0.1</v>
      </c>
    </row>
    <row r="100" spans="2:20">
      <c r="B100" t="s">
        <v>221</v>
      </c>
      <c r="I100" t="s">
        <v>19</v>
      </c>
      <c r="J100" t="s">
        <v>20</v>
      </c>
      <c r="M100" t="s">
        <v>1</v>
      </c>
      <c r="N100" t="s">
        <v>2</v>
      </c>
      <c r="O100" t="s">
        <v>226</v>
      </c>
      <c r="R100" s="20">
        <v>22</v>
      </c>
      <c r="S100">
        <v>0.1</v>
      </c>
    </row>
    <row r="101" spans="2:20">
      <c r="B101" t="s">
        <v>222</v>
      </c>
      <c r="I101" t="s">
        <v>19</v>
      </c>
      <c r="J101" t="s">
        <v>20</v>
      </c>
      <c r="M101" t="s">
        <v>1</v>
      </c>
      <c r="N101" t="s">
        <v>2</v>
      </c>
      <c r="O101" t="s">
        <v>226</v>
      </c>
      <c r="R101" s="20">
        <v>24</v>
      </c>
      <c r="S101">
        <v>0.1</v>
      </c>
    </row>
    <row r="102" spans="2:20">
      <c r="B102" t="s">
        <v>223</v>
      </c>
      <c r="I102" t="s">
        <v>19</v>
      </c>
      <c r="J102" t="s">
        <v>20</v>
      </c>
      <c r="M102" t="s">
        <v>1</v>
      </c>
      <c r="N102" t="s">
        <v>2</v>
      </c>
      <c r="O102" t="s">
        <v>226</v>
      </c>
      <c r="R102" s="20">
        <v>26</v>
      </c>
      <c r="S102">
        <v>0.1</v>
      </c>
    </row>
    <row r="103" spans="2:20">
      <c r="B103" t="s">
        <v>224</v>
      </c>
      <c r="I103" t="s">
        <v>19</v>
      </c>
      <c r="J103" t="s">
        <v>20</v>
      </c>
      <c r="M103" t="s">
        <v>1</v>
      </c>
      <c r="N103" t="s">
        <v>2</v>
      </c>
      <c r="O103" t="s">
        <v>226</v>
      </c>
      <c r="R103" s="20">
        <v>28</v>
      </c>
      <c r="S103">
        <v>0.1</v>
      </c>
    </row>
    <row r="104" spans="2:20">
      <c r="B104" t="s">
        <v>225</v>
      </c>
      <c r="I104" t="s">
        <v>19</v>
      </c>
      <c r="J104" t="s">
        <v>20</v>
      </c>
      <c r="M104" t="s">
        <v>1</v>
      </c>
      <c r="N104" t="s">
        <v>2</v>
      </c>
      <c r="O104" t="s">
        <v>226</v>
      </c>
      <c r="R104" s="20">
        <v>30</v>
      </c>
      <c r="S104">
        <v>0.1</v>
      </c>
    </row>
    <row r="105" spans="2:20">
      <c r="B105" t="s">
        <v>271</v>
      </c>
      <c r="I105" t="s">
        <v>19</v>
      </c>
      <c r="J105" t="s">
        <v>20</v>
      </c>
      <c r="M105" t="s">
        <v>1</v>
      </c>
      <c r="N105" t="s">
        <v>2</v>
      </c>
      <c r="O105" t="s">
        <v>226</v>
      </c>
      <c r="R105">
        <v>35</v>
      </c>
      <c r="S105">
        <v>0.1</v>
      </c>
    </row>
    <row r="106" spans="2:20">
      <c r="B106" t="s">
        <v>272</v>
      </c>
      <c r="I106" t="s">
        <v>19</v>
      </c>
      <c r="J106" t="s">
        <v>20</v>
      </c>
      <c r="M106" t="s">
        <v>1</v>
      </c>
      <c r="N106" t="s">
        <v>2</v>
      </c>
      <c r="O106" t="s">
        <v>226</v>
      </c>
      <c r="R106">
        <v>40</v>
      </c>
      <c r="S106">
        <v>0.1</v>
      </c>
    </row>
    <row r="107" spans="2:20">
      <c r="B107" t="s">
        <v>273</v>
      </c>
      <c r="I107" t="s">
        <v>19</v>
      </c>
      <c r="J107" t="s">
        <v>20</v>
      </c>
      <c r="M107" t="s">
        <v>1</v>
      </c>
      <c r="N107" t="s">
        <v>2</v>
      </c>
      <c r="O107" t="s">
        <v>226</v>
      </c>
      <c r="R107">
        <v>45</v>
      </c>
      <c r="S107">
        <v>0.1</v>
      </c>
    </row>
    <row r="108" spans="2:20">
      <c r="B108" t="s">
        <v>274</v>
      </c>
      <c r="I108" t="s">
        <v>19</v>
      </c>
      <c r="J108" t="s">
        <v>20</v>
      </c>
      <c r="M108" t="s">
        <v>1</v>
      </c>
      <c r="N108" t="s">
        <v>2</v>
      </c>
      <c r="O108" t="s">
        <v>226</v>
      </c>
      <c r="R108">
        <v>50</v>
      </c>
      <c r="S108">
        <v>0.1</v>
      </c>
    </row>
    <row r="109" spans="2:20">
      <c r="B109" t="s">
        <v>275</v>
      </c>
      <c r="I109" t="s">
        <v>19</v>
      </c>
      <c r="J109" t="s">
        <v>20</v>
      </c>
      <c r="M109" t="s">
        <v>1</v>
      </c>
      <c r="N109" t="s">
        <v>2</v>
      </c>
      <c r="O109" t="s">
        <v>226</v>
      </c>
      <c r="R109">
        <v>60</v>
      </c>
      <c r="S109">
        <v>0.1</v>
      </c>
    </row>
    <row r="110" spans="2:20">
      <c r="B110" t="s">
        <v>227</v>
      </c>
      <c r="I110" t="s">
        <v>19</v>
      </c>
      <c r="J110" t="s">
        <v>20</v>
      </c>
      <c r="M110" t="s">
        <v>1</v>
      </c>
      <c r="N110" t="s">
        <v>2</v>
      </c>
      <c r="O110" t="s">
        <v>3</v>
      </c>
      <c r="R110" s="20">
        <v>5</v>
      </c>
      <c r="T110">
        <v>1.01</v>
      </c>
    </row>
    <row r="111" spans="2:20">
      <c r="B111" t="s">
        <v>228</v>
      </c>
      <c r="I111" t="s">
        <v>19</v>
      </c>
      <c r="J111" t="s">
        <v>20</v>
      </c>
      <c r="M111" t="s">
        <v>1</v>
      </c>
      <c r="N111" t="s">
        <v>2</v>
      </c>
      <c r="O111" t="s">
        <v>3</v>
      </c>
      <c r="R111" s="20">
        <v>5</v>
      </c>
      <c r="T111">
        <v>1.01</v>
      </c>
    </row>
    <row r="112" spans="2:20">
      <c r="B112" t="s">
        <v>229</v>
      </c>
      <c r="I112" t="s">
        <v>19</v>
      </c>
      <c r="J112" t="s">
        <v>20</v>
      </c>
      <c r="M112" t="s">
        <v>1</v>
      </c>
      <c r="N112" t="s">
        <v>2</v>
      </c>
      <c r="O112" t="s">
        <v>3</v>
      </c>
      <c r="R112" s="20">
        <v>5</v>
      </c>
      <c r="T112">
        <v>1.01</v>
      </c>
    </row>
    <row r="113" spans="2:20">
      <c r="B113" t="s">
        <v>230</v>
      </c>
      <c r="I113" t="s">
        <v>19</v>
      </c>
      <c r="J113" t="s">
        <v>20</v>
      </c>
      <c r="M113" t="s">
        <v>1</v>
      </c>
      <c r="N113" t="s">
        <v>2</v>
      </c>
      <c r="O113" t="s">
        <v>3</v>
      </c>
      <c r="R113" s="20">
        <v>5</v>
      </c>
      <c r="T113">
        <v>1.01</v>
      </c>
    </row>
    <row r="114" spans="2:20">
      <c r="B114" t="s">
        <v>231</v>
      </c>
      <c r="I114" t="s">
        <v>19</v>
      </c>
      <c r="J114" t="s">
        <v>20</v>
      </c>
      <c r="M114" t="s">
        <v>1</v>
      </c>
      <c r="N114" t="s">
        <v>2</v>
      </c>
      <c r="O114" t="s">
        <v>3</v>
      </c>
      <c r="R114" s="20">
        <v>5</v>
      </c>
      <c r="T114">
        <v>1.01</v>
      </c>
    </row>
    <row r="115" spans="2:20">
      <c r="B115" t="s">
        <v>232</v>
      </c>
      <c r="I115" t="s">
        <v>19</v>
      </c>
      <c r="J115" t="s">
        <v>20</v>
      </c>
      <c r="M115" t="s">
        <v>1</v>
      </c>
      <c r="N115" t="s">
        <v>2</v>
      </c>
      <c r="O115" t="s">
        <v>3</v>
      </c>
      <c r="R115">
        <v>10</v>
      </c>
      <c r="T115">
        <v>1.01</v>
      </c>
    </row>
    <row r="116" spans="2:20">
      <c r="B116" t="s">
        <v>233</v>
      </c>
      <c r="I116" t="s">
        <v>19</v>
      </c>
      <c r="J116" t="s">
        <v>20</v>
      </c>
      <c r="M116" t="s">
        <v>1</v>
      </c>
      <c r="N116" t="s">
        <v>2</v>
      </c>
      <c r="O116" t="s">
        <v>3</v>
      </c>
      <c r="R116">
        <v>10</v>
      </c>
      <c r="T116">
        <v>1.01</v>
      </c>
    </row>
    <row r="117" spans="2:20">
      <c r="B117" t="s">
        <v>234</v>
      </c>
      <c r="I117" t="s">
        <v>19</v>
      </c>
      <c r="J117" t="s">
        <v>20</v>
      </c>
      <c r="M117" t="s">
        <v>1</v>
      </c>
      <c r="N117" t="s">
        <v>2</v>
      </c>
      <c r="O117" t="s">
        <v>3</v>
      </c>
      <c r="R117">
        <v>10</v>
      </c>
      <c r="T117">
        <v>1.01</v>
      </c>
    </row>
    <row r="118" spans="2:20">
      <c r="B118" t="s">
        <v>235</v>
      </c>
      <c r="I118" t="s">
        <v>19</v>
      </c>
      <c r="J118" t="s">
        <v>20</v>
      </c>
      <c r="M118" t="s">
        <v>1</v>
      </c>
      <c r="N118" t="s">
        <v>2</v>
      </c>
      <c r="O118" t="s">
        <v>3</v>
      </c>
      <c r="R118">
        <v>10</v>
      </c>
      <c r="T118">
        <v>1.01</v>
      </c>
    </row>
    <row r="119" spans="2:20">
      <c r="B119" t="s">
        <v>236</v>
      </c>
      <c r="I119" t="s">
        <v>19</v>
      </c>
      <c r="J119" t="s">
        <v>20</v>
      </c>
      <c r="M119" t="s">
        <v>1</v>
      </c>
      <c r="N119" t="s">
        <v>2</v>
      </c>
      <c r="O119" t="s">
        <v>3</v>
      </c>
      <c r="R119">
        <v>10</v>
      </c>
      <c r="T119">
        <v>1.01</v>
      </c>
    </row>
    <row r="120" spans="2:20">
      <c r="B120" t="s">
        <v>237</v>
      </c>
      <c r="I120" t="s">
        <v>19</v>
      </c>
      <c r="J120" t="s">
        <v>20</v>
      </c>
      <c r="M120" t="s">
        <v>1</v>
      </c>
      <c r="N120" t="s">
        <v>2</v>
      </c>
      <c r="O120" t="s">
        <v>3</v>
      </c>
      <c r="R120" s="20">
        <v>20</v>
      </c>
      <c r="T120">
        <v>1.01</v>
      </c>
    </row>
    <row r="121" spans="2:20">
      <c r="B121" t="s">
        <v>238</v>
      </c>
      <c r="I121" t="s">
        <v>19</v>
      </c>
      <c r="J121" t="s">
        <v>20</v>
      </c>
      <c r="M121" t="s">
        <v>1</v>
      </c>
      <c r="N121" t="s">
        <v>2</v>
      </c>
      <c r="O121" t="s">
        <v>3</v>
      </c>
      <c r="R121" s="20">
        <v>20</v>
      </c>
      <c r="T121">
        <v>1.01</v>
      </c>
    </row>
    <row r="122" spans="2:20">
      <c r="B122" t="s">
        <v>239</v>
      </c>
      <c r="I122" t="s">
        <v>19</v>
      </c>
      <c r="J122" t="s">
        <v>20</v>
      </c>
      <c r="M122" t="s">
        <v>1</v>
      </c>
      <c r="N122" t="s">
        <v>2</v>
      </c>
      <c r="O122" t="s">
        <v>3</v>
      </c>
      <c r="R122" s="20">
        <v>20</v>
      </c>
      <c r="T122">
        <v>1.01</v>
      </c>
    </row>
    <row r="123" spans="2:20">
      <c r="B123" t="s">
        <v>240</v>
      </c>
      <c r="I123" t="s">
        <v>19</v>
      </c>
      <c r="J123" t="s">
        <v>20</v>
      </c>
      <c r="M123" t="s">
        <v>1</v>
      </c>
      <c r="N123" t="s">
        <v>2</v>
      </c>
      <c r="O123" t="s">
        <v>3</v>
      </c>
      <c r="R123" s="20">
        <v>20</v>
      </c>
      <c r="T123">
        <v>1.01</v>
      </c>
    </row>
    <row r="124" spans="2:20">
      <c r="B124" t="s">
        <v>241</v>
      </c>
      <c r="I124" t="s">
        <v>19</v>
      </c>
      <c r="J124" t="s">
        <v>20</v>
      </c>
      <c r="M124" t="s">
        <v>1</v>
      </c>
      <c r="N124" t="s">
        <v>2</v>
      </c>
      <c r="O124" t="s">
        <v>3</v>
      </c>
      <c r="R124" s="20">
        <v>20</v>
      </c>
      <c r="T124">
        <v>1.01</v>
      </c>
    </row>
    <row r="125" spans="2:20">
      <c r="B125" t="s">
        <v>242</v>
      </c>
      <c r="I125" t="s">
        <v>19</v>
      </c>
      <c r="J125" t="s">
        <v>20</v>
      </c>
      <c r="M125" t="s">
        <v>1</v>
      </c>
      <c r="N125" t="s">
        <v>2</v>
      </c>
      <c r="O125" t="s">
        <v>3</v>
      </c>
      <c r="R125">
        <v>30</v>
      </c>
      <c r="T125">
        <v>1.01</v>
      </c>
    </row>
    <row r="126" spans="2:20">
      <c r="B126" t="s">
        <v>243</v>
      </c>
      <c r="I126" t="s">
        <v>19</v>
      </c>
      <c r="J126" t="s">
        <v>20</v>
      </c>
      <c r="M126" t="s">
        <v>1</v>
      </c>
      <c r="N126" t="s">
        <v>2</v>
      </c>
      <c r="O126" t="s">
        <v>3</v>
      </c>
      <c r="R126">
        <v>30</v>
      </c>
      <c r="T126">
        <v>1.01</v>
      </c>
    </row>
    <row r="127" spans="2:20">
      <c r="B127" t="s">
        <v>244</v>
      </c>
      <c r="I127" t="s">
        <v>19</v>
      </c>
      <c r="J127" t="s">
        <v>20</v>
      </c>
      <c r="M127" t="s">
        <v>1</v>
      </c>
      <c r="N127" t="s">
        <v>2</v>
      </c>
      <c r="O127" t="s">
        <v>3</v>
      </c>
      <c r="R127">
        <v>30</v>
      </c>
      <c r="T127">
        <v>1.01</v>
      </c>
    </row>
    <row r="128" spans="2:20">
      <c r="B128" t="s">
        <v>245</v>
      </c>
      <c r="I128" t="s">
        <v>19</v>
      </c>
      <c r="J128" t="s">
        <v>20</v>
      </c>
      <c r="M128" t="s">
        <v>1</v>
      </c>
      <c r="N128" t="s">
        <v>2</v>
      </c>
      <c r="O128" t="s">
        <v>3</v>
      </c>
      <c r="R128">
        <v>30</v>
      </c>
      <c r="T128">
        <v>1.01</v>
      </c>
    </row>
    <row r="129" spans="2:20">
      <c r="B129" t="s">
        <v>246</v>
      </c>
      <c r="I129" t="s">
        <v>19</v>
      </c>
      <c r="J129" t="s">
        <v>20</v>
      </c>
      <c r="M129" t="s">
        <v>1</v>
      </c>
      <c r="N129" t="s">
        <v>2</v>
      </c>
      <c r="O129" t="s">
        <v>3</v>
      </c>
      <c r="R129">
        <v>30</v>
      </c>
      <c r="T129">
        <v>1.01</v>
      </c>
    </row>
    <row r="130" spans="2:20">
      <c r="B130" t="s">
        <v>276</v>
      </c>
      <c r="I130" t="s">
        <v>19</v>
      </c>
      <c r="J130" t="s">
        <v>20</v>
      </c>
      <c r="M130" t="s">
        <v>1</v>
      </c>
      <c r="N130" t="s">
        <v>2</v>
      </c>
      <c r="O130" t="s">
        <v>3</v>
      </c>
      <c r="R130" s="20">
        <v>50</v>
      </c>
      <c r="T130">
        <v>1.01</v>
      </c>
    </row>
    <row r="131" spans="2:20">
      <c r="B131" t="s">
        <v>277</v>
      </c>
      <c r="I131" t="s">
        <v>19</v>
      </c>
      <c r="J131" t="s">
        <v>20</v>
      </c>
      <c r="M131" t="s">
        <v>1</v>
      </c>
      <c r="N131" t="s">
        <v>2</v>
      </c>
      <c r="O131" t="s">
        <v>3</v>
      </c>
      <c r="R131" s="20">
        <v>50</v>
      </c>
      <c r="T131">
        <v>1.01</v>
      </c>
    </row>
    <row r="132" spans="2:20">
      <c r="B132" t="s">
        <v>278</v>
      </c>
      <c r="I132" t="s">
        <v>19</v>
      </c>
      <c r="J132" t="s">
        <v>20</v>
      </c>
      <c r="M132" t="s">
        <v>1</v>
      </c>
      <c r="N132" t="s">
        <v>2</v>
      </c>
      <c r="O132" t="s">
        <v>3</v>
      </c>
      <c r="R132" s="20">
        <v>50</v>
      </c>
      <c r="T132">
        <v>1.01</v>
      </c>
    </row>
    <row r="133" spans="2:20">
      <c r="B133" t="s">
        <v>279</v>
      </c>
      <c r="I133" t="s">
        <v>19</v>
      </c>
      <c r="J133" t="s">
        <v>20</v>
      </c>
      <c r="M133" t="s">
        <v>1</v>
      </c>
      <c r="N133" t="s">
        <v>2</v>
      </c>
      <c r="O133" t="s">
        <v>3</v>
      </c>
      <c r="R133" s="20">
        <v>50</v>
      </c>
      <c r="T133">
        <v>1.01</v>
      </c>
    </row>
    <row r="134" spans="2:20">
      <c r="B134" t="s">
        <v>280</v>
      </c>
      <c r="I134" t="s">
        <v>19</v>
      </c>
      <c r="J134" t="s">
        <v>20</v>
      </c>
      <c r="M134" t="s">
        <v>1</v>
      </c>
      <c r="N134" t="s">
        <v>2</v>
      </c>
      <c r="O134" t="s">
        <v>3</v>
      </c>
      <c r="R134" s="20">
        <v>50</v>
      </c>
      <c r="T134">
        <v>1.01</v>
      </c>
    </row>
    <row r="135" spans="2:20">
      <c r="B135" t="s">
        <v>287</v>
      </c>
      <c r="I135" t="s">
        <v>19</v>
      </c>
      <c r="J135" t="s">
        <v>20</v>
      </c>
      <c r="M135" t="s">
        <v>1</v>
      </c>
      <c r="N135" t="s">
        <v>2</v>
      </c>
      <c r="O135" t="s">
        <v>186</v>
      </c>
      <c r="R135">
        <v>5</v>
      </c>
      <c r="T135">
        <v>1.01</v>
      </c>
    </row>
    <row r="136" spans="2:20">
      <c r="B136" t="s">
        <v>247</v>
      </c>
      <c r="I136" t="s">
        <v>19</v>
      </c>
      <c r="J136" t="s">
        <v>20</v>
      </c>
      <c r="M136" t="s">
        <v>1</v>
      </c>
      <c r="N136" t="s">
        <v>2</v>
      </c>
      <c r="O136" t="s">
        <v>186</v>
      </c>
      <c r="R136">
        <f>R135+1</f>
        <v>6</v>
      </c>
      <c r="T136">
        <v>1.01</v>
      </c>
    </row>
    <row r="137" spans="2:20">
      <c r="B137" t="s">
        <v>248</v>
      </c>
      <c r="I137" t="s">
        <v>19</v>
      </c>
      <c r="J137" t="s">
        <v>20</v>
      </c>
      <c r="M137" t="s">
        <v>1</v>
      </c>
      <c r="N137" t="s">
        <v>2</v>
      </c>
      <c r="O137" t="s">
        <v>186</v>
      </c>
      <c r="R137">
        <f t="shared" ref="R137:R139" si="3">R136+1</f>
        <v>7</v>
      </c>
      <c r="T137">
        <v>1.01</v>
      </c>
    </row>
    <row r="138" spans="2:20">
      <c r="B138" t="s">
        <v>249</v>
      </c>
      <c r="I138" t="s">
        <v>19</v>
      </c>
      <c r="J138" t="s">
        <v>20</v>
      </c>
      <c r="M138" t="s">
        <v>1</v>
      </c>
      <c r="N138" t="s">
        <v>2</v>
      </c>
      <c r="O138" t="s">
        <v>186</v>
      </c>
      <c r="R138">
        <f t="shared" si="3"/>
        <v>8</v>
      </c>
      <c r="T138">
        <v>1.01</v>
      </c>
    </row>
    <row r="139" spans="2:20">
      <c r="B139" t="s">
        <v>250</v>
      </c>
      <c r="I139" t="s">
        <v>19</v>
      </c>
      <c r="J139" t="s">
        <v>20</v>
      </c>
      <c r="M139" t="s">
        <v>1</v>
      </c>
      <c r="N139" t="s">
        <v>2</v>
      </c>
      <c r="O139" t="s">
        <v>186</v>
      </c>
      <c r="R139">
        <f t="shared" si="3"/>
        <v>9</v>
      </c>
      <c r="T139">
        <v>1.01</v>
      </c>
    </row>
    <row r="140" spans="2:20">
      <c r="B140" t="s">
        <v>251</v>
      </c>
      <c r="I140" t="s">
        <v>19</v>
      </c>
      <c r="J140" t="s">
        <v>20</v>
      </c>
      <c r="M140" t="s">
        <v>1</v>
      </c>
      <c r="N140" t="s">
        <v>2</v>
      </c>
      <c r="O140" t="s">
        <v>186</v>
      </c>
      <c r="R140" s="20">
        <f>R139+3</f>
        <v>12</v>
      </c>
      <c r="T140">
        <v>1.01</v>
      </c>
    </row>
    <row r="141" spans="2:20">
      <c r="B141" t="s">
        <v>252</v>
      </c>
      <c r="I141" t="s">
        <v>19</v>
      </c>
      <c r="J141" t="s">
        <v>20</v>
      </c>
      <c r="M141" t="s">
        <v>1</v>
      </c>
      <c r="N141" t="s">
        <v>2</v>
      </c>
      <c r="O141" t="s">
        <v>186</v>
      </c>
      <c r="R141" s="20">
        <f t="shared" ref="R141:R144" si="4">R140+2</f>
        <v>14</v>
      </c>
      <c r="T141">
        <v>1.01</v>
      </c>
    </row>
    <row r="142" spans="2:20">
      <c r="B142" t="s">
        <v>253</v>
      </c>
      <c r="I142" t="s">
        <v>19</v>
      </c>
      <c r="J142" t="s">
        <v>20</v>
      </c>
      <c r="M142" t="s">
        <v>1</v>
      </c>
      <c r="N142" t="s">
        <v>2</v>
      </c>
      <c r="O142" t="s">
        <v>186</v>
      </c>
      <c r="R142" s="20">
        <f t="shared" si="4"/>
        <v>16</v>
      </c>
      <c r="T142">
        <v>1.01</v>
      </c>
    </row>
    <row r="143" spans="2:20">
      <c r="B143" t="s">
        <v>254</v>
      </c>
      <c r="I143" t="s">
        <v>19</v>
      </c>
      <c r="J143" t="s">
        <v>20</v>
      </c>
      <c r="M143" t="s">
        <v>1</v>
      </c>
      <c r="N143" t="s">
        <v>2</v>
      </c>
      <c r="O143" t="s">
        <v>186</v>
      </c>
      <c r="R143" s="20">
        <f t="shared" si="4"/>
        <v>18</v>
      </c>
      <c r="T143">
        <v>1.01</v>
      </c>
    </row>
    <row r="144" spans="2:20">
      <c r="B144" t="s">
        <v>255</v>
      </c>
      <c r="I144" t="s">
        <v>19</v>
      </c>
      <c r="J144" t="s">
        <v>20</v>
      </c>
      <c r="M144" t="s">
        <v>1</v>
      </c>
      <c r="N144" t="s">
        <v>2</v>
      </c>
      <c r="O144" t="s">
        <v>186</v>
      </c>
      <c r="R144" s="20">
        <f t="shared" si="4"/>
        <v>20</v>
      </c>
      <c r="T144">
        <v>1.01</v>
      </c>
    </row>
    <row r="145" spans="2:20">
      <c r="B145" t="s">
        <v>256</v>
      </c>
      <c r="I145" t="s">
        <v>19</v>
      </c>
      <c r="J145" t="s">
        <v>20</v>
      </c>
      <c r="M145" t="s">
        <v>1</v>
      </c>
      <c r="N145" t="s">
        <v>2</v>
      </c>
      <c r="O145" t="s">
        <v>186</v>
      </c>
      <c r="R145">
        <f>R144+5</f>
        <v>25</v>
      </c>
      <c r="T145">
        <v>1.01</v>
      </c>
    </row>
    <row r="146" spans="2:20">
      <c r="B146" t="s">
        <v>257</v>
      </c>
      <c r="I146" t="s">
        <v>19</v>
      </c>
      <c r="J146" t="s">
        <v>20</v>
      </c>
      <c r="M146" t="s">
        <v>1</v>
      </c>
      <c r="N146" t="s">
        <v>2</v>
      </c>
      <c r="O146" t="s">
        <v>186</v>
      </c>
      <c r="R146">
        <f t="shared" ref="R146:R149" si="5">R145+3</f>
        <v>28</v>
      </c>
      <c r="T146">
        <v>1.01</v>
      </c>
    </row>
    <row r="147" spans="2:20">
      <c r="B147" t="s">
        <v>258</v>
      </c>
      <c r="I147" t="s">
        <v>19</v>
      </c>
      <c r="J147" t="s">
        <v>20</v>
      </c>
      <c r="M147" t="s">
        <v>1</v>
      </c>
      <c r="N147" t="s">
        <v>2</v>
      </c>
      <c r="O147" t="s">
        <v>186</v>
      </c>
      <c r="R147">
        <f t="shared" si="5"/>
        <v>31</v>
      </c>
      <c r="T147">
        <v>1.01</v>
      </c>
    </row>
    <row r="148" spans="2:20">
      <c r="B148" t="s">
        <v>259</v>
      </c>
      <c r="I148" t="s">
        <v>19</v>
      </c>
      <c r="J148" t="s">
        <v>20</v>
      </c>
      <c r="M148" t="s">
        <v>1</v>
      </c>
      <c r="N148" t="s">
        <v>2</v>
      </c>
      <c r="O148" t="s">
        <v>186</v>
      </c>
      <c r="R148">
        <f t="shared" si="5"/>
        <v>34</v>
      </c>
      <c r="T148">
        <v>1.01</v>
      </c>
    </row>
    <row r="149" spans="2:20">
      <c r="B149" t="s">
        <v>260</v>
      </c>
      <c r="I149" t="s">
        <v>19</v>
      </c>
      <c r="J149" t="s">
        <v>20</v>
      </c>
      <c r="M149" t="s">
        <v>1</v>
      </c>
      <c r="N149" t="s">
        <v>2</v>
      </c>
      <c r="O149" t="s">
        <v>186</v>
      </c>
      <c r="R149">
        <f t="shared" si="5"/>
        <v>37</v>
      </c>
      <c r="T149">
        <v>1.01</v>
      </c>
    </row>
    <row r="150" spans="2:20">
      <c r="B150" t="s">
        <v>261</v>
      </c>
      <c r="I150" t="s">
        <v>19</v>
      </c>
      <c r="J150" t="s">
        <v>20</v>
      </c>
      <c r="M150" t="s">
        <v>1</v>
      </c>
      <c r="N150" t="s">
        <v>2</v>
      </c>
      <c r="O150" t="s">
        <v>186</v>
      </c>
      <c r="R150" s="20">
        <f>R149+7</f>
        <v>44</v>
      </c>
      <c r="T150">
        <v>1.01</v>
      </c>
    </row>
    <row r="151" spans="2:20">
      <c r="B151" t="s">
        <v>262</v>
      </c>
      <c r="I151" t="s">
        <v>19</v>
      </c>
      <c r="J151" t="s">
        <v>20</v>
      </c>
      <c r="M151" t="s">
        <v>1</v>
      </c>
      <c r="N151" t="s">
        <v>2</v>
      </c>
      <c r="O151" t="s">
        <v>186</v>
      </c>
      <c r="R151" s="20">
        <f t="shared" ref="R151:R154" si="6">R150+4</f>
        <v>48</v>
      </c>
      <c r="T151">
        <v>1.01</v>
      </c>
    </row>
    <row r="152" spans="2:20">
      <c r="B152" t="s">
        <v>263</v>
      </c>
      <c r="I152" t="s">
        <v>19</v>
      </c>
      <c r="J152" t="s">
        <v>20</v>
      </c>
      <c r="M152" t="s">
        <v>1</v>
      </c>
      <c r="N152" t="s">
        <v>2</v>
      </c>
      <c r="O152" t="s">
        <v>186</v>
      </c>
      <c r="R152" s="20">
        <f t="shared" si="6"/>
        <v>52</v>
      </c>
      <c r="T152">
        <v>1.01</v>
      </c>
    </row>
    <row r="153" spans="2:20">
      <c r="B153" t="s">
        <v>264</v>
      </c>
      <c r="I153" t="s">
        <v>19</v>
      </c>
      <c r="J153" t="s">
        <v>20</v>
      </c>
      <c r="M153" t="s">
        <v>1</v>
      </c>
      <c r="N153" t="s">
        <v>2</v>
      </c>
      <c r="O153" t="s">
        <v>186</v>
      </c>
      <c r="R153" s="20">
        <f t="shared" si="6"/>
        <v>56</v>
      </c>
      <c r="T153">
        <v>1.01</v>
      </c>
    </row>
    <row r="154" spans="2:20">
      <c r="B154" t="s">
        <v>265</v>
      </c>
      <c r="I154" t="s">
        <v>19</v>
      </c>
      <c r="J154" t="s">
        <v>20</v>
      </c>
      <c r="M154" t="s">
        <v>1</v>
      </c>
      <c r="N154" t="s">
        <v>2</v>
      </c>
      <c r="O154" t="s">
        <v>186</v>
      </c>
      <c r="R154" s="20">
        <f t="shared" si="6"/>
        <v>60</v>
      </c>
      <c r="T154">
        <v>1.01</v>
      </c>
    </row>
    <row r="155" spans="2:20">
      <c r="B155" t="s">
        <v>281</v>
      </c>
      <c r="I155" t="s">
        <v>19</v>
      </c>
      <c r="J155" t="s">
        <v>20</v>
      </c>
      <c r="M155" t="s">
        <v>1</v>
      </c>
      <c r="N155" t="s">
        <v>2</v>
      </c>
      <c r="O155" t="s">
        <v>186</v>
      </c>
      <c r="R155">
        <f>R154+9</f>
        <v>69</v>
      </c>
      <c r="T155">
        <v>1.01</v>
      </c>
    </row>
    <row r="156" spans="2:20">
      <c r="B156" t="s">
        <v>282</v>
      </c>
      <c r="I156" t="s">
        <v>19</v>
      </c>
      <c r="J156" t="s">
        <v>20</v>
      </c>
      <c r="M156" t="s">
        <v>1</v>
      </c>
      <c r="N156" t="s">
        <v>2</v>
      </c>
      <c r="O156" t="s">
        <v>186</v>
      </c>
      <c r="R156">
        <f t="shared" ref="R156:R159" si="7">R155+9</f>
        <v>78</v>
      </c>
      <c r="T156">
        <v>1.01</v>
      </c>
    </row>
    <row r="157" spans="2:20">
      <c r="B157" t="s">
        <v>283</v>
      </c>
      <c r="I157" t="s">
        <v>19</v>
      </c>
      <c r="J157" t="s">
        <v>20</v>
      </c>
      <c r="M157" t="s">
        <v>1</v>
      </c>
      <c r="N157" t="s">
        <v>2</v>
      </c>
      <c r="O157" t="s">
        <v>186</v>
      </c>
      <c r="R157">
        <f t="shared" si="7"/>
        <v>87</v>
      </c>
      <c r="T157">
        <v>1.01</v>
      </c>
    </row>
    <row r="158" spans="2:20">
      <c r="B158" t="s">
        <v>284</v>
      </c>
      <c r="I158" t="s">
        <v>19</v>
      </c>
      <c r="J158" t="s">
        <v>20</v>
      </c>
      <c r="M158" t="s">
        <v>1</v>
      </c>
      <c r="N158" t="s">
        <v>2</v>
      </c>
      <c r="O158" t="s">
        <v>186</v>
      </c>
      <c r="R158">
        <f t="shared" si="7"/>
        <v>96</v>
      </c>
      <c r="T158">
        <v>1.01</v>
      </c>
    </row>
    <row r="159" spans="2:20">
      <c r="B159" t="s">
        <v>285</v>
      </c>
      <c r="I159" t="s">
        <v>19</v>
      </c>
      <c r="J159" t="s">
        <v>20</v>
      </c>
      <c r="M159" t="s">
        <v>1</v>
      </c>
      <c r="N159" t="s">
        <v>2</v>
      </c>
      <c r="O159" t="s">
        <v>186</v>
      </c>
      <c r="R159">
        <f t="shared" si="7"/>
        <v>105</v>
      </c>
      <c r="T159">
        <v>1.01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CD3FF-E145-4C14-ACBF-112CF45784F9}">
  <dimension ref="B2:F21"/>
  <sheetViews>
    <sheetView workbookViewId="0">
      <selection activeCell="B33" sqref="B33"/>
    </sheetView>
  </sheetViews>
  <sheetFormatPr defaultColWidth="8.69921875" defaultRowHeight="17.399999999999999"/>
  <cols>
    <col min="1" max="1" width="8.69921875" style="1"/>
    <col min="2" max="2" width="12.19921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69921875" style="1"/>
  </cols>
  <sheetData>
    <row r="2" spans="2:6">
      <c r="B2" s="2" t="s">
        <v>62</v>
      </c>
      <c r="C2" s="3" t="s">
        <v>63</v>
      </c>
      <c r="D2" s="3" t="s">
        <v>64</v>
      </c>
      <c r="E2" s="3" t="s">
        <v>65</v>
      </c>
      <c r="F2" s="3" t="s">
        <v>66</v>
      </c>
    </row>
    <row r="3" spans="2:6">
      <c r="B3" s="4" t="s">
        <v>0</v>
      </c>
      <c r="C3" s="5" t="s">
        <v>67</v>
      </c>
      <c r="D3" s="6"/>
      <c r="E3" s="7" t="s">
        <v>68</v>
      </c>
      <c r="F3" s="8"/>
    </row>
    <row r="4" spans="2:6">
      <c r="B4" s="4" t="s">
        <v>33</v>
      </c>
      <c r="C4" s="9" t="s">
        <v>69</v>
      </c>
      <c r="D4" s="6"/>
      <c r="E4" s="11" t="s">
        <v>70</v>
      </c>
      <c r="F4" s="10"/>
    </row>
    <row r="5" spans="2:6">
      <c r="B5" s="4" t="s">
        <v>4</v>
      </c>
      <c r="C5" s="21" t="s">
        <v>71</v>
      </c>
      <c r="D5" s="22"/>
      <c r="E5" s="22"/>
      <c r="F5" s="23"/>
    </row>
    <row r="6" spans="2:6">
      <c r="B6" s="4" t="s">
        <v>5</v>
      </c>
      <c r="C6" s="24"/>
      <c r="D6" s="25"/>
      <c r="E6" s="25"/>
      <c r="F6" s="26"/>
    </row>
    <row r="7" spans="2:6">
      <c r="B7" s="4" t="s">
        <v>6</v>
      </c>
      <c r="C7" s="24"/>
      <c r="D7" s="25"/>
      <c r="E7" s="25"/>
      <c r="F7" s="26"/>
    </row>
    <row r="8" spans="2:6">
      <c r="B8" s="4" t="s">
        <v>7</v>
      </c>
      <c r="C8" s="24"/>
      <c r="D8" s="25"/>
      <c r="E8" s="25"/>
      <c r="F8" s="26"/>
    </row>
    <row r="9" spans="2:6">
      <c r="B9" s="4" t="s">
        <v>8</v>
      </c>
      <c r="C9" s="24"/>
      <c r="D9" s="25"/>
      <c r="E9" s="25"/>
      <c r="F9" s="26"/>
    </row>
    <row r="10" spans="2:6">
      <c r="B10" s="4" t="s">
        <v>29</v>
      </c>
      <c r="C10" s="27"/>
      <c r="D10" s="28"/>
      <c r="E10" s="28"/>
      <c r="F10" s="29"/>
    </row>
    <row r="11" spans="2:6">
      <c r="B11" s="4" t="s">
        <v>9</v>
      </c>
      <c r="C11" s="30" t="s">
        <v>72</v>
      </c>
      <c r="D11" s="31"/>
      <c r="E11" s="31"/>
      <c r="F11" s="32"/>
    </row>
    <row r="12" spans="2:6">
      <c r="B12" s="4" t="s">
        <v>10</v>
      </c>
      <c r="C12" s="33"/>
      <c r="D12" s="34"/>
      <c r="E12" s="34"/>
      <c r="F12" s="35"/>
    </row>
    <row r="13" spans="2:6">
      <c r="B13" s="4" t="s">
        <v>11</v>
      </c>
      <c r="C13" s="33"/>
      <c r="D13" s="34"/>
      <c r="E13" s="34"/>
      <c r="F13" s="35"/>
    </row>
    <row r="14" spans="2:6">
      <c r="B14" s="4" t="s">
        <v>12</v>
      </c>
      <c r="C14" s="36"/>
      <c r="D14" s="37"/>
      <c r="E14" s="37"/>
      <c r="F14" s="38"/>
    </row>
    <row r="15" spans="2:6">
      <c r="B15" s="4" t="s">
        <v>13</v>
      </c>
      <c r="C15" s="39" t="s">
        <v>73</v>
      </c>
      <c r="D15" s="40"/>
      <c r="E15" s="40"/>
      <c r="F15" s="41"/>
    </row>
    <row r="16" spans="2:6">
      <c r="B16" s="4" t="s">
        <v>14</v>
      </c>
      <c r="C16" s="42"/>
      <c r="D16" s="43"/>
      <c r="E16" s="43"/>
      <c r="F16" s="44"/>
    </row>
    <row r="17" spans="2:6">
      <c r="B17" s="4" t="s">
        <v>15</v>
      </c>
      <c r="C17" s="42"/>
      <c r="D17" s="43"/>
      <c r="E17" s="43"/>
      <c r="F17" s="44"/>
    </row>
    <row r="18" spans="2:6">
      <c r="B18" s="4" t="s">
        <v>16</v>
      </c>
      <c r="C18" s="42"/>
      <c r="D18" s="43"/>
      <c r="E18" s="43"/>
      <c r="F18" s="44"/>
    </row>
    <row r="19" spans="2:6">
      <c r="B19" s="4" t="s">
        <v>17</v>
      </c>
      <c r="C19" s="45"/>
      <c r="D19" s="46"/>
      <c r="E19" s="46"/>
      <c r="F19" s="47"/>
    </row>
    <row r="20" spans="2:6">
      <c r="B20" s="4" t="s">
        <v>120</v>
      </c>
      <c r="C20" s="16" t="s">
        <v>121</v>
      </c>
      <c r="D20" s="16"/>
      <c r="E20" s="16" t="s">
        <v>123</v>
      </c>
      <c r="F20" s="16"/>
    </row>
    <row r="21" spans="2:6">
      <c r="B21" s="4" t="s">
        <v>119</v>
      </c>
      <c r="C21" s="16" t="s">
        <v>122</v>
      </c>
      <c r="D21" s="16"/>
      <c r="E21" s="16" t="s">
        <v>124</v>
      </c>
      <c r="F21" s="16"/>
    </row>
  </sheetData>
  <mergeCells count="3">
    <mergeCell ref="C5:F10"/>
    <mergeCell ref="C11:F14"/>
    <mergeCell ref="C15:F1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D9AE-D29E-4247-B1FB-BD9D3D8ADFB2}">
  <dimension ref="B2:G5"/>
  <sheetViews>
    <sheetView workbookViewId="0">
      <selection activeCell="C4" sqref="C4:G4"/>
    </sheetView>
  </sheetViews>
  <sheetFormatPr defaultRowHeight="17.399999999999999"/>
  <cols>
    <col min="2" max="2" width="11.19921875" bestFit="1" customWidth="1"/>
    <col min="3" max="7" width="14.69921875" customWidth="1"/>
  </cols>
  <sheetData>
    <row r="2" spans="2:7"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29</v>
      </c>
    </row>
    <row r="3" spans="2:7">
      <c r="B3" s="4" t="s">
        <v>18</v>
      </c>
      <c r="C3" s="48" t="s">
        <v>74</v>
      </c>
      <c r="D3" s="48"/>
      <c r="E3" s="48"/>
      <c r="F3" s="48"/>
      <c r="G3" s="48"/>
    </row>
    <row r="4" spans="2:7" ht="87" customHeight="1">
      <c r="B4" s="4" t="s">
        <v>21</v>
      </c>
      <c r="C4" s="49" t="s">
        <v>75</v>
      </c>
      <c r="D4" s="50"/>
      <c r="E4" s="50"/>
      <c r="F4" s="50"/>
      <c r="G4" s="51"/>
    </row>
    <row r="5" spans="2:7" ht="54.6" customHeight="1">
      <c r="B5" s="4" t="s">
        <v>43</v>
      </c>
      <c r="C5" s="49" t="s">
        <v>76</v>
      </c>
      <c r="D5" s="52"/>
      <c r="E5" s="52"/>
      <c r="F5" s="52"/>
      <c r="G5" s="53"/>
    </row>
  </sheetData>
  <mergeCells count="3">
    <mergeCell ref="C3:G3"/>
    <mergeCell ref="C4:G4"/>
    <mergeCell ref="C5:G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B509-714E-44DB-B570-95E5B2BEDB80}">
  <dimension ref="B2:E8"/>
  <sheetViews>
    <sheetView workbookViewId="0">
      <selection activeCell="C25" sqref="C25"/>
    </sheetView>
  </sheetViews>
  <sheetFormatPr defaultRowHeight="17.399999999999999"/>
  <cols>
    <col min="2" max="2" width="16.09765625" customWidth="1"/>
    <col min="3" max="3" width="17.69921875" customWidth="1"/>
    <col min="4" max="4" width="19.19921875" customWidth="1"/>
    <col min="5" max="5" width="21.59765625" customWidth="1"/>
  </cols>
  <sheetData>
    <row r="2" spans="2:5">
      <c r="B2" s="4" t="s">
        <v>9</v>
      </c>
      <c r="C2" s="4" t="s">
        <v>10</v>
      </c>
      <c r="D2" s="4" t="s">
        <v>11</v>
      </c>
      <c r="E2" s="4" t="s">
        <v>12</v>
      </c>
    </row>
    <row r="3" spans="2:5">
      <c r="B3" s="13" t="s">
        <v>28</v>
      </c>
      <c r="C3" s="48" t="s">
        <v>77</v>
      </c>
      <c r="D3" s="48"/>
      <c r="E3" s="48"/>
    </row>
    <row r="4" spans="2:5" ht="95.4" customHeight="1">
      <c r="B4" s="13" t="s">
        <v>19</v>
      </c>
      <c r="C4" s="54" t="s">
        <v>78</v>
      </c>
      <c r="D4" s="54"/>
      <c r="E4" s="54"/>
    </row>
    <row r="5" spans="2:5" ht="76.95" customHeight="1">
      <c r="B5" s="13" t="s">
        <v>27</v>
      </c>
      <c r="C5" s="15" t="s">
        <v>99</v>
      </c>
      <c r="D5" s="15" t="s">
        <v>100</v>
      </c>
      <c r="E5" s="15" t="s">
        <v>98</v>
      </c>
    </row>
    <row r="6" spans="2:5">
      <c r="B6" s="55" t="s">
        <v>102</v>
      </c>
      <c r="C6" s="58" t="s">
        <v>97</v>
      </c>
      <c r="D6" s="4" t="s">
        <v>103</v>
      </c>
      <c r="E6" s="61"/>
    </row>
    <row r="7" spans="2:5">
      <c r="B7" s="56"/>
      <c r="C7" s="59"/>
      <c r="D7" s="4" t="s">
        <v>104</v>
      </c>
      <c r="E7" s="62"/>
    </row>
    <row r="8" spans="2:5">
      <c r="B8" s="57"/>
      <c r="C8" s="60"/>
      <c r="D8" s="4" t="s">
        <v>105</v>
      </c>
      <c r="E8" s="63"/>
    </row>
  </sheetData>
  <mergeCells count="5">
    <mergeCell ref="C3:E3"/>
    <mergeCell ref="C4:E4"/>
    <mergeCell ref="B6:B8"/>
    <mergeCell ref="C6:C8"/>
    <mergeCell ref="E6:E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7D12-87D6-42C4-9438-3F649266A34E}">
  <dimension ref="B2:H31"/>
  <sheetViews>
    <sheetView workbookViewId="0">
      <selection activeCell="D30" sqref="D30"/>
    </sheetView>
  </sheetViews>
  <sheetFormatPr defaultRowHeight="17.399999999999999"/>
  <cols>
    <col min="2" max="2" width="14.19921875" customWidth="1"/>
    <col min="3" max="3" width="11.59765625" customWidth="1"/>
    <col min="4" max="4" width="16.59765625" customWidth="1"/>
    <col min="5" max="5" width="12.69921875" customWidth="1"/>
    <col min="6" max="6" width="11.69921875" customWidth="1"/>
    <col min="7" max="7" width="17.5" bestFit="1" customWidth="1"/>
    <col min="8" max="8" width="51.69921875" customWidth="1"/>
  </cols>
  <sheetData>
    <row r="2" spans="2:8">
      <c r="B2" t="s">
        <v>79</v>
      </c>
    </row>
    <row r="3" spans="2:8"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95</v>
      </c>
      <c r="H3" s="4"/>
    </row>
    <row r="4" spans="2:8">
      <c r="B4" s="4" t="s">
        <v>51</v>
      </c>
      <c r="C4" s="4" t="s">
        <v>2</v>
      </c>
      <c r="D4" s="4" t="s">
        <v>56</v>
      </c>
      <c r="E4" s="4"/>
      <c r="F4" s="4"/>
      <c r="G4" s="4" t="s">
        <v>54</v>
      </c>
      <c r="H4" s="4" t="s">
        <v>57</v>
      </c>
    </row>
    <row r="5" spans="2:8">
      <c r="B5" s="4"/>
      <c r="C5" s="4" t="s">
        <v>30</v>
      </c>
      <c r="D5" s="4" t="s">
        <v>93</v>
      </c>
      <c r="E5" s="4"/>
      <c r="F5" s="4"/>
      <c r="G5" s="4" t="s">
        <v>54</v>
      </c>
      <c r="H5" s="4" t="s">
        <v>94</v>
      </c>
    </row>
    <row r="6" spans="2:8">
      <c r="B6" s="4"/>
      <c r="C6" s="4"/>
      <c r="D6" s="4" t="s">
        <v>164</v>
      </c>
      <c r="E6" s="4"/>
      <c r="F6" s="4"/>
      <c r="G6" s="4" t="s">
        <v>54</v>
      </c>
      <c r="H6" s="4" t="s">
        <v>165</v>
      </c>
    </row>
    <row r="7" spans="2:8">
      <c r="B7" s="4"/>
      <c r="C7" s="4"/>
      <c r="D7" s="4" t="s">
        <v>166</v>
      </c>
      <c r="E7" s="4"/>
      <c r="F7" s="4"/>
      <c r="G7" s="4" t="s">
        <v>54</v>
      </c>
      <c r="H7" s="4" t="s">
        <v>167</v>
      </c>
    </row>
    <row r="8" spans="2:8">
      <c r="B8" s="4"/>
      <c r="C8" s="4"/>
      <c r="D8" s="4" t="s">
        <v>170</v>
      </c>
      <c r="E8" s="4"/>
      <c r="F8" s="4"/>
      <c r="G8" s="4" t="s">
        <v>54</v>
      </c>
      <c r="H8" s="4" t="s">
        <v>171</v>
      </c>
    </row>
    <row r="9" spans="2:8">
      <c r="B9" s="4" t="s">
        <v>49</v>
      </c>
      <c r="C9" s="4" t="s">
        <v>2</v>
      </c>
      <c r="D9" s="4" t="s">
        <v>26</v>
      </c>
      <c r="E9" s="4"/>
      <c r="F9" s="4"/>
      <c r="G9" s="4" t="s">
        <v>55</v>
      </c>
      <c r="H9" s="4" t="s">
        <v>58</v>
      </c>
    </row>
    <row r="10" spans="2:8">
      <c r="B10" s="4"/>
      <c r="C10" s="4" t="s">
        <v>30</v>
      </c>
      <c r="D10" s="4" t="s">
        <v>50</v>
      </c>
      <c r="E10" s="4"/>
      <c r="F10" s="4"/>
      <c r="G10" s="4" t="s">
        <v>54</v>
      </c>
      <c r="H10" s="4" t="s">
        <v>59</v>
      </c>
    </row>
    <row r="11" spans="2:8">
      <c r="B11" s="4"/>
      <c r="C11" s="4"/>
      <c r="D11" s="4" t="s">
        <v>106</v>
      </c>
      <c r="E11" s="4"/>
      <c r="F11" s="4"/>
      <c r="G11" s="4" t="s">
        <v>109</v>
      </c>
      <c r="H11" s="4" t="s">
        <v>108</v>
      </c>
    </row>
    <row r="12" spans="2:8">
      <c r="B12" s="4" t="s">
        <v>48</v>
      </c>
      <c r="C12" s="4" t="s">
        <v>2</v>
      </c>
      <c r="D12" s="4" t="s">
        <v>112</v>
      </c>
      <c r="E12" s="4"/>
      <c r="F12" s="4"/>
      <c r="G12" s="4" t="s">
        <v>53</v>
      </c>
      <c r="H12" s="4" t="s">
        <v>60</v>
      </c>
    </row>
    <row r="13" spans="2:8">
      <c r="B13" s="4"/>
      <c r="C13" s="4" t="s">
        <v>30</v>
      </c>
      <c r="D13" s="4" t="s">
        <v>52</v>
      </c>
      <c r="E13" s="4"/>
      <c r="F13" s="4"/>
      <c r="G13" s="4" t="s">
        <v>54</v>
      </c>
      <c r="H13" s="4" t="s">
        <v>61</v>
      </c>
    </row>
    <row r="14" spans="2:8">
      <c r="B14" s="4" t="s">
        <v>110</v>
      </c>
      <c r="C14" s="12" t="s">
        <v>2</v>
      </c>
      <c r="D14" s="4" t="s">
        <v>111</v>
      </c>
      <c r="E14" s="4"/>
      <c r="F14" s="4"/>
      <c r="G14" s="4" t="s">
        <v>54</v>
      </c>
      <c r="H14" s="4" t="s">
        <v>114</v>
      </c>
    </row>
    <row r="15" spans="2:8">
      <c r="B15" s="4"/>
      <c r="C15" s="12" t="s">
        <v>30</v>
      </c>
      <c r="D15" s="4" t="s">
        <v>112</v>
      </c>
      <c r="E15" s="4"/>
      <c r="F15" s="4"/>
      <c r="G15" s="4" t="s">
        <v>113</v>
      </c>
      <c r="H15" s="4" t="s">
        <v>115</v>
      </c>
    </row>
    <row r="17" spans="2:8">
      <c r="B17" t="s">
        <v>80</v>
      </c>
    </row>
    <row r="18" spans="2:8">
      <c r="B18" s="4" t="s">
        <v>13</v>
      </c>
      <c r="C18" s="4" t="s">
        <v>14</v>
      </c>
      <c r="D18" s="4" t="s">
        <v>15</v>
      </c>
      <c r="E18" s="4" t="s">
        <v>16</v>
      </c>
      <c r="F18" s="4" t="s">
        <v>17</v>
      </c>
      <c r="G18" s="4" t="s">
        <v>95</v>
      </c>
      <c r="H18" s="4"/>
    </row>
    <row r="19" spans="2:8">
      <c r="B19" s="12" t="s">
        <v>1</v>
      </c>
      <c r="C19" s="12" t="s">
        <v>2</v>
      </c>
      <c r="D19" s="12" t="s">
        <v>3</v>
      </c>
      <c r="E19" s="12"/>
      <c r="F19" s="4"/>
      <c r="G19" s="12" t="s">
        <v>54</v>
      </c>
      <c r="H19" s="4" t="s">
        <v>83</v>
      </c>
    </row>
    <row r="20" spans="2:8">
      <c r="B20" s="4"/>
      <c r="C20" s="12" t="s">
        <v>30</v>
      </c>
      <c r="D20" s="12" t="s">
        <v>47</v>
      </c>
      <c r="E20" s="12"/>
      <c r="F20" s="4"/>
      <c r="G20" s="12" t="s">
        <v>54</v>
      </c>
      <c r="H20" s="4" t="s">
        <v>84</v>
      </c>
    </row>
    <row r="21" spans="2:8">
      <c r="B21" s="4"/>
      <c r="C21" s="4"/>
      <c r="D21" s="12" t="s">
        <v>36</v>
      </c>
      <c r="E21" s="12"/>
      <c r="F21" s="4"/>
      <c r="G21" s="12" t="s">
        <v>54</v>
      </c>
      <c r="H21" s="4" t="s">
        <v>85</v>
      </c>
    </row>
    <row r="22" spans="2:8">
      <c r="B22" s="4"/>
      <c r="C22" s="4"/>
      <c r="D22" s="12" t="s">
        <v>39</v>
      </c>
      <c r="E22" s="12"/>
      <c r="F22" s="4"/>
      <c r="G22" s="12" t="s">
        <v>54</v>
      </c>
      <c r="H22" s="4" t="s">
        <v>86</v>
      </c>
    </row>
    <row r="23" spans="2:8">
      <c r="B23" s="4"/>
      <c r="C23" s="4"/>
      <c r="D23" s="12" t="s">
        <v>81</v>
      </c>
      <c r="E23" s="12"/>
      <c r="F23" s="4"/>
      <c r="G23" s="12" t="s">
        <v>82</v>
      </c>
      <c r="H23" s="4" t="s">
        <v>87</v>
      </c>
    </row>
    <row r="24" spans="2:8">
      <c r="B24" s="4"/>
      <c r="C24" s="4"/>
      <c r="D24" s="12" t="s">
        <v>117</v>
      </c>
      <c r="E24" s="12"/>
      <c r="F24" s="4"/>
      <c r="G24" s="12" t="s">
        <v>54</v>
      </c>
      <c r="H24" s="4" t="s">
        <v>118</v>
      </c>
    </row>
    <row r="26" spans="2:8">
      <c r="B26" t="s">
        <v>88</v>
      </c>
    </row>
    <row r="27" spans="2:8">
      <c r="B27" s="4" t="s">
        <v>13</v>
      </c>
      <c r="C27" s="4" t="s">
        <v>14</v>
      </c>
      <c r="D27" s="4" t="s">
        <v>15</v>
      </c>
      <c r="E27" s="4" t="s">
        <v>16</v>
      </c>
      <c r="F27" s="4" t="s">
        <v>17</v>
      </c>
      <c r="G27" s="4" t="s">
        <v>95</v>
      </c>
      <c r="H27" s="4"/>
    </row>
    <row r="28" spans="2:8">
      <c r="B28" s="12" t="s">
        <v>1</v>
      </c>
      <c r="C28" s="12" t="s">
        <v>2</v>
      </c>
      <c r="D28" s="12" t="s">
        <v>47</v>
      </c>
      <c r="E28" s="12"/>
      <c r="F28" s="4"/>
      <c r="G28" s="12" t="s">
        <v>54</v>
      </c>
      <c r="H28" s="4" t="s">
        <v>89</v>
      </c>
    </row>
    <row r="29" spans="2:8">
      <c r="B29" s="4"/>
      <c r="C29" s="12" t="s">
        <v>30</v>
      </c>
      <c r="D29" s="12" t="s">
        <v>90</v>
      </c>
      <c r="E29" s="4"/>
      <c r="F29" s="4"/>
      <c r="G29" s="12" t="s">
        <v>54</v>
      </c>
      <c r="H29" s="14" t="s">
        <v>96</v>
      </c>
    </row>
    <row r="30" spans="2:8">
      <c r="B30" s="4"/>
      <c r="C30" s="4"/>
      <c r="D30" s="12" t="s">
        <v>31</v>
      </c>
      <c r="E30" s="12"/>
      <c r="F30" s="12"/>
      <c r="G30" s="12" t="s">
        <v>54</v>
      </c>
      <c r="H30" s="4" t="s">
        <v>101</v>
      </c>
    </row>
    <row r="31" spans="2:8">
      <c r="B31" s="4"/>
      <c r="C31" s="4"/>
      <c r="D31" s="12" t="s">
        <v>106</v>
      </c>
      <c r="E31" s="4"/>
      <c r="F31" s="4"/>
      <c r="G31" s="12" t="s">
        <v>54</v>
      </c>
      <c r="H31" s="4" t="s">
        <v>107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Export</vt:lpstr>
      <vt:lpstr>설명</vt:lpstr>
      <vt:lpstr>ConditionParam</vt:lpstr>
      <vt:lpstr>TargetParam</vt:lpstr>
      <vt:lpstr>EffectParam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2022-08-18T12:15:24Z</dcterms:modified>
</cp:coreProperties>
</file>